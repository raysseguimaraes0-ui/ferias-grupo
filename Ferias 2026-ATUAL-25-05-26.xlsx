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7c873a9741cf927/ENGEVIAS/FERIAS/"/>
    </mc:Choice>
  </mc:AlternateContent>
  <xr:revisionPtr revIDLastSave="40" documentId="8_{D42AB2A8-23E1-874B-A50F-8ECAA158C5EA}" xr6:coauthVersionLast="47" xr6:coauthVersionMax="47" xr10:uidLastSave="{C6C5ECE6-5B73-414E-A9C2-FB0C4CA29DEF}"/>
  <bookViews>
    <workbookView xWindow="0" yWindow="660" windowWidth="29400" windowHeight="18460" xr2:uid="{00000000-000D-0000-FFFF-FFFF00000000}"/>
  </bookViews>
  <sheets>
    <sheet name="2025-2026" sheetId="14" r:id="rId1"/>
    <sheet name="2025-2026-INGRID-NELY-CARLOS" sheetId="15" r:id="rId2"/>
  </sheets>
  <definedNames>
    <definedName name="_xlnm._FilterDatabase" localSheetId="0" hidden="1">'2025-2026'!$A$3:$AJ$171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15" l="1"/>
  <c r="J17" i="15"/>
  <c r="J14" i="14"/>
  <c r="G119" i="14"/>
  <c r="J178" i="14"/>
  <c r="G178" i="14"/>
  <c r="N8" i="15"/>
  <c r="N18" i="15"/>
  <c r="N13" i="15"/>
  <c r="J114" i="14"/>
  <c r="Q162" i="14"/>
  <c r="G17" i="15"/>
  <c r="G12" i="15"/>
  <c r="N12" i="15" s="1"/>
  <c r="G7" i="15"/>
  <c r="N7" i="15" s="1"/>
  <c r="G177" i="14"/>
  <c r="G176" i="14"/>
  <c r="G98" i="14"/>
  <c r="G58" i="14"/>
  <c r="G37" i="14"/>
  <c r="G36" i="14"/>
  <c r="G35" i="14"/>
  <c r="G29" i="14"/>
  <c r="G23" i="14"/>
  <c r="G12" i="14"/>
  <c r="G97" i="14"/>
  <c r="G90" i="14"/>
  <c r="G34" i="14"/>
  <c r="G163" i="14" l="1"/>
  <c r="J147" i="14"/>
  <c r="J151" i="14"/>
  <c r="G151" i="14"/>
  <c r="G147" i="14"/>
  <c r="G136" i="14"/>
  <c r="J113" i="14"/>
  <c r="G105" i="14"/>
  <c r="G87" i="14"/>
  <c r="G78" i="14"/>
  <c r="G71" i="14"/>
  <c r="G69" i="14"/>
  <c r="G83" i="14"/>
  <c r="G63" i="14"/>
  <c r="G116" i="14"/>
  <c r="G107" i="14"/>
  <c r="G109" i="14"/>
  <c r="G17" i="14"/>
  <c r="G181" i="14"/>
  <c r="G180" i="14"/>
  <c r="G175" i="14"/>
  <c r="J174" i="14"/>
  <c r="G174" i="14"/>
  <c r="J173" i="14"/>
  <c r="G173" i="14"/>
  <c r="J172" i="14"/>
  <c r="G172" i="14"/>
  <c r="G168" i="14"/>
  <c r="G167" i="14"/>
  <c r="J165" i="14"/>
  <c r="G165" i="14"/>
  <c r="G164" i="14"/>
  <c r="G162" i="14"/>
  <c r="G161" i="14"/>
  <c r="G160" i="14"/>
  <c r="G158" i="14"/>
  <c r="J157" i="14"/>
  <c r="G157" i="14"/>
  <c r="J156" i="14"/>
  <c r="G156" i="14"/>
  <c r="G150" i="14"/>
  <c r="J149" i="14"/>
  <c r="G149" i="14"/>
  <c r="J148" i="14"/>
  <c r="G148" i="14"/>
  <c r="G146" i="14"/>
  <c r="J145" i="14"/>
  <c r="G145" i="14"/>
  <c r="J144" i="14"/>
  <c r="G144" i="14"/>
  <c r="G143" i="14"/>
  <c r="J142" i="14"/>
  <c r="G142" i="14"/>
  <c r="G140" i="14"/>
  <c r="G138" i="14"/>
  <c r="G137" i="14"/>
  <c r="G135" i="14"/>
  <c r="G134" i="14"/>
  <c r="J133" i="14"/>
  <c r="G133" i="14"/>
  <c r="J132" i="14"/>
  <c r="G132" i="14"/>
  <c r="J131" i="14"/>
  <c r="G131" i="14"/>
  <c r="J130" i="14"/>
  <c r="G130" i="14"/>
  <c r="J129" i="14"/>
  <c r="G129" i="14"/>
  <c r="J128" i="14"/>
  <c r="G128" i="14"/>
  <c r="G127" i="14"/>
  <c r="J126" i="14"/>
  <c r="G126" i="14"/>
  <c r="J125" i="14"/>
  <c r="G125" i="14"/>
  <c r="M124" i="14"/>
  <c r="J124" i="14"/>
  <c r="G124" i="14"/>
  <c r="M123" i="14"/>
  <c r="J123" i="14"/>
  <c r="G123" i="14"/>
  <c r="G118" i="14"/>
  <c r="G117" i="14"/>
  <c r="G115" i="14"/>
  <c r="G114" i="14"/>
  <c r="G113" i="14"/>
  <c r="J112" i="14"/>
  <c r="G112" i="14"/>
  <c r="M111" i="14"/>
  <c r="J111" i="14"/>
  <c r="G111" i="14"/>
  <c r="G110" i="14"/>
  <c r="J108" i="14"/>
  <c r="G108" i="14"/>
  <c r="J106" i="14"/>
  <c r="G106" i="14"/>
  <c r="J104" i="14"/>
  <c r="G104" i="14"/>
  <c r="G103" i="14"/>
  <c r="G102" i="14"/>
  <c r="J96" i="14"/>
  <c r="G96" i="14"/>
  <c r="J95" i="14"/>
  <c r="G95" i="14"/>
  <c r="J94" i="14"/>
  <c r="G94" i="14"/>
  <c r="J92" i="14"/>
  <c r="G92" i="14"/>
  <c r="J91" i="14"/>
  <c r="G91" i="14"/>
  <c r="J89" i="14"/>
  <c r="G89" i="14"/>
  <c r="J88" i="14"/>
  <c r="G88" i="14"/>
  <c r="J86" i="14"/>
  <c r="G86" i="14"/>
  <c r="J85" i="14"/>
  <c r="G85" i="14"/>
  <c r="J84" i="14"/>
  <c r="G84" i="14"/>
  <c r="J82" i="14"/>
  <c r="G82" i="14"/>
  <c r="J81" i="14"/>
  <c r="G81" i="14"/>
  <c r="J80" i="14"/>
  <c r="G80" i="14"/>
  <c r="J79" i="14"/>
  <c r="G79" i="14"/>
  <c r="J77" i="14"/>
  <c r="G77" i="14"/>
  <c r="J76" i="14"/>
  <c r="G76" i="14"/>
  <c r="J75" i="14"/>
  <c r="G75" i="14"/>
  <c r="J74" i="14"/>
  <c r="G74" i="14"/>
  <c r="J73" i="14"/>
  <c r="G73" i="14"/>
  <c r="J72" i="14"/>
  <c r="G72" i="14"/>
  <c r="J70" i="14"/>
  <c r="G70" i="14"/>
  <c r="G68" i="14"/>
  <c r="G67" i="14"/>
  <c r="G66" i="14"/>
  <c r="J65" i="14"/>
  <c r="G65" i="14"/>
  <c r="J64" i="14"/>
  <c r="G64" i="14"/>
  <c r="J62" i="14"/>
  <c r="G62" i="14"/>
  <c r="J61" i="14"/>
  <c r="G61" i="14"/>
  <c r="J60" i="14"/>
  <c r="G60" i="14"/>
  <c r="J59" i="14"/>
  <c r="G59" i="14"/>
  <c r="J57" i="14"/>
  <c r="G57" i="14"/>
  <c r="J56" i="14"/>
  <c r="G56" i="14"/>
  <c r="G55" i="14"/>
  <c r="G54" i="14"/>
  <c r="J53" i="14"/>
  <c r="G53" i="14"/>
  <c r="J52" i="14"/>
  <c r="G52" i="14"/>
  <c r="J51" i="14"/>
  <c r="G51" i="14"/>
  <c r="J50" i="14"/>
  <c r="G50" i="14"/>
  <c r="R49" i="14"/>
  <c r="J49" i="14"/>
  <c r="G49" i="14"/>
  <c r="J48" i="14"/>
  <c r="G48" i="14"/>
  <c r="J47" i="14"/>
  <c r="G47" i="14"/>
  <c r="J46" i="14"/>
  <c r="G46" i="14"/>
  <c r="R45" i="14"/>
  <c r="J45" i="14"/>
  <c r="G45" i="14"/>
  <c r="J44" i="14"/>
  <c r="G44" i="14"/>
  <c r="J43" i="14"/>
  <c r="G43" i="14"/>
  <c r="J42" i="14"/>
  <c r="G42" i="14"/>
  <c r="J41" i="14"/>
  <c r="G41" i="14"/>
  <c r="G33" i="14"/>
  <c r="G32" i="14"/>
  <c r="J31" i="14"/>
  <c r="G31" i="14"/>
  <c r="J30" i="14"/>
  <c r="G30" i="14"/>
  <c r="J28" i="14"/>
  <c r="G28" i="14"/>
  <c r="J27" i="14"/>
  <c r="G27" i="14"/>
  <c r="J26" i="14"/>
  <c r="G26" i="14"/>
  <c r="J25" i="14"/>
  <c r="G25" i="14"/>
  <c r="J24" i="14"/>
  <c r="G24" i="14"/>
  <c r="J22" i="14"/>
  <c r="G22" i="14"/>
  <c r="J21" i="14"/>
  <c r="G21" i="14"/>
  <c r="J20" i="14"/>
  <c r="G20" i="14"/>
  <c r="J19" i="14"/>
  <c r="G19" i="14"/>
  <c r="J18" i="14"/>
  <c r="G18" i="14"/>
  <c r="J16" i="14"/>
  <c r="G16" i="14"/>
  <c r="J15" i="14"/>
  <c r="G15" i="14"/>
  <c r="G14" i="14"/>
  <c r="G13" i="14"/>
  <c r="J11" i="14"/>
  <c r="G11" i="14"/>
  <c r="J10" i="14"/>
  <c r="G10" i="14"/>
  <c r="J9" i="14"/>
  <c r="G9" i="14"/>
  <c r="J8" i="14"/>
  <c r="G8" i="14"/>
  <c r="G7" i="14"/>
  <c r="J6" i="14"/>
  <c r="G6" i="14"/>
  <c r="N111" i="14" l="1"/>
  <c r="N123" i="14"/>
</calcChain>
</file>

<file path=xl/sharedStrings.xml><?xml version="1.0" encoding="utf-8"?>
<sst xmlns="http://schemas.openxmlformats.org/spreadsheetml/2006/main" count="552" uniqueCount="162">
  <si>
    <t>Filipe Braid Carannante</t>
  </si>
  <si>
    <t>Alexandre Pinto de Sousa</t>
  </si>
  <si>
    <t>Raul Serafim Ponte</t>
  </si>
  <si>
    <t>Maria Luiza Vieira Fernandes Rocha</t>
  </si>
  <si>
    <t>Clara Dibe Veríssimo</t>
  </si>
  <si>
    <t>Maria Torres Diniz</t>
  </si>
  <si>
    <t>Jean Cardoso de Sousa</t>
  </si>
  <si>
    <t>Data Início</t>
  </si>
  <si>
    <t>Data Fim</t>
  </si>
  <si>
    <t>FÉRIAS ENGEVIAS</t>
  </si>
  <si>
    <t>FÉRIAS SAFETYVIAS</t>
  </si>
  <si>
    <t>Nely Maria Costa Cunha</t>
  </si>
  <si>
    <t>Carlos Roberto Cunha</t>
  </si>
  <si>
    <t>Ingrid Custódio Lima Romero</t>
  </si>
  <si>
    <t>Igor Mota Fernandes</t>
  </si>
  <si>
    <t>OBSERVAÇÃO</t>
  </si>
  <si>
    <t>TOTAL</t>
  </si>
  <si>
    <t xml:space="preserve">Admissão </t>
  </si>
  <si>
    <t>Perído Aquisitivo</t>
  </si>
  <si>
    <t>Período 1</t>
  </si>
  <si>
    <t>Dias</t>
  </si>
  <si>
    <t>Período 2</t>
  </si>
  <si>
    <t>Data Limite</t>
  </si>
  <si>
    <t>Empregado</t>
  </si>
  <si>
    <t>Humberto Henede Avila Vaz</t>
  </si>
  <si>
    <t>Leandro Rodrigues Lopes</t>
  </si>
  <si>
    <t>2019 - 2020</t>
  </si>
  <si>
    <t>INTIMISSIMI - IGUATEMI</t>
  </si>
  <si>
    <t>INTIMISSIMI - RIO MAR</t>
  </si>
  <si>
    <t>Crislane de Sousa Costa</t>
  </si>
  <si>
    <t>Viviane Maria dos Santos Ferreira</t>
  </si>
  <si>
    <t>2020 - 2021</t>
  </si>
  <si>
    <t>SUSPENSÃO DO CONTRATO DE 13/04/2020 POR 60 DIAS</t>
  </si>
  <si>
    <t>Aurilene Soares de Melo</t>
  </si>
  <si>
    <t>Alessandra Honório Oliveira</t>
  </si>
  <si>
    <t>2021 - 2022</t>
  </si>
  <si>
    <t>Márcia da Silva Costa</t>
  </si>
  <si>
    <t>TEM 5 DIAS DE BANCO DE HORAS PARA TIRAR NAS PRÓXIMAS FÉRIAS (29/03 - 02/04)</t>
  </si>
  <si>
    <t>IGUATEMI</t>
  </si>
  <si>
    <t>Daiane</t>
  </si>
  <si>
    <t>EDUARDA</t>
  </si>
  <si>
    <t>2022 - 2023</t>
  </si>
  <si>
    <t>Rebeca Araújo de Oliveira Costa</t>
  </si>
  <si>
    <t>João Filho</t>
  </si>
  <si>
    <t>Roberto Jorge Pereira</t>
  </si>
  <si>
    <t>Luis Sérgio De Lima Oliveira</t>
  </si>
  <si>
    <t>Dalila Luz</t>
  </si>
  <si>
    <t>Leonardo Cidade</t>
  </si>
  <si>
    <t>OUTUBRO</t>
  </si>
  <si>
    <t>PEDIR 19/12/2022 - FÉRIAS</t>
  </si>
  <si>
    <t>JOÃO PAULO</t>
  </si>
  <si>
    <t>10/09/2022 - 16/09/2022 - 7 DIAS</t>
  </si>
  <si>
    <t>REINALDO</t>
  </si>
  <si>
    <t>EXTRA OFICIAL DIA 01 A 15/02/2023 - EM SETEMBRO VENDER 5 DIAS</t>
  </si>
  <si>
    <t>2023 - 2024</t>
  </si>
  <si>
    <t>01 a 15/02/2023 - GOZA 15 DIAS E VENDE 15 DIAS</t>
  </si>
  <si>
    <t xml:space="preserve">EXTRA OFICIAL DIA 08/03 A 06/04/2023 </t>
  </si>
  <si>
    <t>VENDEU 15 DIAS</t>
  </si>
  <si>
    <r>
      <t>08/08 - 12/08/2022 (5 DIAS) -</t>
    </r>
    <r>
      <rPr>
        <sz val="11"/>
        <color rgb="FFFF0000"/>
        <rFont val="Calibri (Corpo)"/>
      </rPr>
      <t xml:space="preserve"> EXTRA OFICIAL - 21/12 A 30/12 (10DIAS) - 10/04 A 24/04 (15 DIAS)</t>
    </r>
  </si>
  <si>
    <t>16/10/2023 - 01/11/2023 - 17 DIAS - EXTRAOFICIAL - 13 DIAS (18/04 a 30/04)</t>
  </si>
  <si>
    <t>16/09/2023 A 13/01/2024 - LICENÇA MATERNIDADE</t>
  </si>
  <si>
    <t>CÉSAR</t>
  </si>
  <si>
    <t>2024 - 2025</t>
  </si>
  <si>
    <t>CONTRATAR</t>
  </si>
  <si>
    <t>EXTRA OFICIAL DIA 02/03 A 31/03/2024</t>
  </si>
  <si>
    <t>CALZEDONIA - IGUATEMI</t>
  </si>
  <si>
    <t>Samia</t>
  </si>
  <si>
    <t>Jamila</t>
  </si>
  <si>
    <t>Jordana</t>
  </si>
  <si>
    <t>EXTRA OFICIAL - (23/10/2023 - 01/11/2023) (31/01/2024 - 09/02/2024) (10/07/2024 - 19/07/2024)</t>
  </si>
  <si>
    <t>EXTRA - OFICIAL: 23/08/2023 - 06/09/2023 - 15 DIAS - 01/01/2024 - 15/01/2024 - 15 DIAS</t>
  </si>
  <si>
    <r>
      <t xml:space="preserve">GOZOU 10 DIAS (16/05-25/05/2022) - JANEIRO - 26/12 - 08/01/2023 - 14 DIAS </t>
    </r>
    <r>
      <rPr>
        <sz val="11"/>
        <color rgb="FFFF0000"/>
        <rFont val="Calibri (Corpo)"/>
      </rPr>
      <t xml:space="preserve">(FALTAM 6 DIAS DE FÉRIAS) </t>
    </r>
  </si>
  <si>
    <t>Everthon</t>
  </si>
  <si>
    <t>Josiellen</t>
  </si>
  <si>
    <t>Geysa</t>
  </si>
  <si>
    <t>EXTRA OFICIAL EM JULHO - 10 DIAS E  10 DIAS VENDIDOS E PAGO EM 02/05/2024</t>
  </si>
  <si>
    <t>EXTRA OFICIAL EM SETEMBRO - 10 DIAS E  10 DIAS VENDIDOS E PAGO EM 03/06/2024</t>
  </si>
  <si>
    <t>Alexsandra</t>
  </si>
  <si>
    <t>EXTRA OFICIAL DIA 23/10 A 06/11/2023 15 DIAS - 01/07/2024 - 15/07/2024 - 15 DIAS</t>
  </si>
  <si>
    <t>Nil</t>
  </si>
  <si>
    <t xml:space="preserve">Caio </t>
  </si>
  <si>
    <r>
      <t xml:space="preserve">EXTRA-OFICIAL - 08/02 - 17/02/2023 / EXTRA-OFICIAL - 08/05 - 27/05/2023 </t>
    </r>
    <r>
      <rPr>
        <sz val="11"/>
        <color rgb="FFFF0000"/>
        <rFont val="Calibri (Corpo)"/>
      </rPr>
      <t>- EXTRA OFICIAL:
07/10/2024 a 21/10/2024</t>
    </r>
  </si>
  <si>
    <t>EXTRA OFICIAL - 15/07/2024 A 29/07/2024</t>
  </si>
  <si>
    <t>EXTRA OFICIAL - 15-29/07/2024</t>
  </si>
  <si>
    <t>Májela</t>
  </si>
  <si>
    <t>04/03/2024 A 23/03/2024 - 20 DIAS OFICIAIS (02 a 06/09 - 5 DIAS VOLTOU P/ TREINAMENTO CRIS) - COMPRA 10 DIAS</t>
  </si>
  <si>
    <t>EXTRA OFICIAL - 05/08/2024 - 03/09/2024 DEMISSÃO: 06/06/2024</t>
  </si>
  <si>
    <t>EXTRA OFICIAL - 01/10/2024 A 15/10/2024</t>
  </si>
  <si>
    <t>EXTRA-OFICIAL-04/12/2024 A 18/12/2024</t>
  </si>
  <si>
    <t xml:space="preserve">04/03/2024 A 18/03/2024 - 15 DIAS E 07/10 A 21/10/2024 - 15 DIAS - EXTRA-OFICIAL </t>
  </si>
  <si>
    <t>EXTRA OFICIAL - 08/07/2024 A 22/07/2024 E 02/09/2024 A 16/09/2024</t>
  </si>
  <si>
    <t>OUTROS</t>
  </si>
  <si>
    <t>Pedro Ryan</t>
  </si>
  <si>
    <t xml:space="preserve">Crislane </t>
  </si>
  <si>
    <t>Milla</t>
  </si>
  <si>
    <t>02/01/2023 - 16/01/2023 - EXTRA-OFICIAL</t>
  </si>
  <si>
    <t>EXTRA-OFICIAL - 30/12/2024 A 13/01/2025</t>
  </si>
  <si>
    <t>EXTRA-OFICIAL - 02/12/2024 A 31/12/2024 - 30 DIAS</t>
  </si>
  <si>
    <t>02/12/2024 A 31/12/2024 - EXTRA - OFICIAL</t>
  </si>
  <si>
    <t>EXTRA OFICIAL 16/09/2024 - 30/09/2024 / 16/12/2024 a 30/12/2024</t>
  </si>
  <si>
    <t>14/03/2022 - 23/03/2022 - 10 dias - EXTRA OFICIAL - 26/12/2024 A 06/01/2025</t>
  </si>
  <si>
    <t>EXTRA OFICIAL - 18/12/2024 A 01/01/2025</t>
  </si>
  <si>
    <t>Alyne Leitão de Oliveira</t>
  </si>
  <si>
    <t>Gisley</t>
  </si>
  <si>
    <t xml:space="preserve">COMPRAR 10 DIAS E FICA FALTANDO 10 DIAS EM SETEMBRO </t>
  </si>
  <si>
    <t>COMPRAR 20 DIAS - 10 POR DENTRO E 10 POR FORA - GOZAR DE 12 A 21/05/2025</t>
  </si>
  <si>
    <t xml:space="preserve">FÉRIAS DE 30 DIAS COM 10 DIAS VENDIDOS - GOZO - 17/02 A 26/02 </t>
  </si>
  <si>
    <t>EXTRA OFICIAL -05/03/2025 - 03/04/2025</t>
  </si>
  <si>
    <t>COMPRAR 10 DIAS OFICIAL E 10 DIAS EXTRA 01/04/2025</t>
  </si>
  <si>
    <t xml:space="preserve"> </t>
  </si>
  <si>
    <t>ACORDO - SEM CARTEIRA</t>
  </si>
  <si>
    <t>EXTRA-OFICIAL: 23/06/2025 A 07/07/2025</t>
  </si>
  <si>
    <t>EXTRA OFICIAL 12/05/2025 - 26/05/2025 - 15 DIAS - DEZEMBRO (15/12/2025 A 29/12/2025) - 15 DIAS</t>
  </si>
  <si>
    <t>10 DIAS GOZADOS (20/01/2025 A 29/01/2025) - 20 DIAS A GOZAR (01/09/205 A 20/09/2025)</t>
  </si>
  <si>
    <t>EXTRA OFICIAL - 05/05/2025 a 19/05/2025</t>
  </si>
  <si>
    <t>SEM CARTEIRA</t>
  </si>
  <si>
    <t>2025 - 2026</t>
  </si>
  <si>
    <t xml:space="preserve">   </t>
  </si>
  <si>
    <t>EXTRA OFICIAL - 17/07 - 31/07/2025</t>
  </si>
  <si>
    <t>Renata</t>
  </si>
  <si>
    <t>Ana Lúcia</t>
  </si>
  <si>
    <t>Marluce</t>
  </si>
  <si>
    <t>EXTRA OFICIAL - 11/08/2025 - 24/08/2025 - 15 DIAS (1 DIA A TIRAR)</t>
  </si>
  <si>
    <t>20 DIAS GOZADOS E 10 COMPRADOS OFICIAL - 18/08 A 06/09 - CARTEIRA OFICIAL - GOZO - 18 A 27/08/2025</t>
  </si>
  <si>
    <t>EXTRA OFICIAL - 06/10/2025 A 15/10/2025 - 10 DIAS E 20/04/2026 A 29/04/2026 - 10 DIAS - VENDE 10 DIAS</t>
  </si>
  <si>
    <t>EXTRA OFICIAL - 11/10/2025 A 30/10/2025 - VENDEU 10 DIAS</t>
  </si>
  <si>
    <t>Agatha</t>
  </si>
  <si>
    <t>Pablo</t>
  </si>
  <si>
    <t>Victor</t>
  </si>
  <si>
    <t>Bianca</t>
  </si>
  <si>
    <t>Raysse</t>
  </si>
  <si>
    <t>Larisse</t>
  </si>
  <si>
    <t>20 DIAS DA RESCISÃO</t>
  </si>
  <si>
    <t>EXTRA OFICIAL 29/12/2025 A 12/01/2026</t>
  </si>
  <si>
    <t>ACORDO - SEM CARTEIRA - 03/11/2025 - 5 MESES - 12 DIAS RESCISÃO +30 DIAS = 42-10 = 32 DIAS</t>
  </si>
  <si>
    <t>ADITIVO ENGEVIAS</t>
  </si>
  <si>
    <t>RETORNO DIA 19/01/2026</t>
  </si>
  <si>
    <t>FÉRIAS PAGAS</t>
  </si>
  <si>
    <t>EXTRA OFICIAL - 30/12/2024 - 13/01/2025 - 15 DIAS - 15/01/2026 - 26/01/2026 - 12 DIAS</t>
  </si>
  <si>
    <t xml:space="preserve">04/02/2026 - 13/02/2026 - 10 DIAS </t>
  </si>
  <si>
    <t>2026 - 2027</t>
  </si>
  <si>
    <t>17 DIAS DE FÉRIAS - FEVEREIRO E 7 DIAS EM OUTUBRO</t>
  </si>
  <si>
    <t>ACORDO - SEM CARTEIRA - NA ASSINATURA DA NOVA CARTEIRA EM MARÇO/2026 SERÁ GOZADO AS FÉRIAS PROPORCIONAIS - 17 DIAS DE FÉRIAS - FEVEREIRO E 7 DIAS EM OUTUBRO</t>
  </si>
  <si>
    <t>ACORDO - SEM CARTEIRA - 02/02/2026 - SAFETY - NELY - FÉRIAS - 27 DIAS - 05/01 A 31/01/2026</t>
  </si>
  <si>
    <t>ACORDO - SEM CARTEIRA - 02/02/2026 - SAFETY - NELY - 10 MESES DE FÉRIAS - 25 DIAS</t>
  </si>
  <si>
    <t>VENDE 10 DIAS</t>
  </si>
  <si>
    <t>EXTRA OFICIAL - 05/10/2026 A 14/10/2026 - 10 DIAS E 19/04/2027 A 28/04/2027 - 10 DIAS - VENDE 10 DIAS</t>
  </si>
  <si>
    <t>EXTRA OFICIAL - 23/03 A 01/04/2026 - 10 DIAS</t>
  </si>
  <si>
    <t>VENDE 10 DIAS EXTRAOFICIAL - 23/02/2026 A 04/03/2026</t>
  </si>
  <si>
    <t>GOZO - 15 DIAS (03/08/2026 A 17/08/2026) E VENDE 15 DIAS</t>
  </si>
  <si>
    <t>Danielle</t>
  </si>
  <si>
    <t>extra oficial - 28/12/2026 a 11/01/2027 - 15 dias</t>
  </si>
  <si>
    <t>GOZO - 07/09 A 26/09/2026 - 20 DIAS E VENDE 10 DIAS</t>
  </si>
  <si>
    <t>GOZO - 01/02/2027 A 20/02/2027 E VENDE 10 DIAS</t>
  </si>
  <si>
    <t>RESCISÃO</t>
  </si>
  <si>
    <t>3 DIAS</t>
  </si>
  <si>
    <t>0 DIAS</t>
  </si>
  <si>
    <t>LICENÇA</t>
  </si>
  <si>
    <t>EXTRA OFICIIAL - 04/03/2026 - 23/03/2026</t>
  </si>
  <si>
    <t>27 a 06/04/2026 - 10 DIAS EXTRA OFICIAL E 20 DIAS - 01/12/2026 A 20/12/2026</t>
  </si>
  <si>
    <t>7 DIAS</t>
  </si>
  <si>
    <t>DIAS 26 A 30/03-SP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</si>
</sst>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 (Corpo)"/>
    </font>
    <font>
      <b/>
      <sz val="14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40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4" fillId="2" borderId="0" xfId="0" applyFont="1" applyFill="1"/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/>
    <xf numFmtId="0" fontId="0" fillId="6" borderId="1" xfId="0" applyFill="1" applyBorder="1" applyAlignment="1">
      <alignment horizontal="center"/>
    </xf>
    <xf numFmtId="14" fontId="2" fillId="6" borderId="1" xfId="0" applyNumberFormat="1" applyFont="1" applyFill="1" applyBorder="1"/>
    <xf numFmtId="0" fontId="2" fillId="6" borderId="1" xfId="0" applyFont="1" applyFill="1" applyBorder="1" applyAlignment="1">
      <alignment horizontal="center"/>
    </xf>
    <xf numFmtId="0" fontId="2" fillId="6" borderId="0" xfId="0" applyFont="1" applyFill="1"/>
    <xf numFmtId="0" fontId="0" fillId="6" borderId="1" xfId="0" applyFill="1" applyBorder="1"/>
    <xf numFmtId="14" fontId="0" fillId="6" borderId="1" xfId="0" applyNumberForma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4" fontId="0" fillId="6" borderId="1" xfId="0" applyNumberFormat="1" applyFill="1" applyBorder="1"/>
    <xf numFmtId="0" fontId="0" fillId="6" borderId="0" xfId="0" applyFill="1"/>
    <xf numFmtId="1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4" fontId="2" fillId="4" borderId="1" xfId="0" applyNumberFormat="1" applyFont="1" applyFill="1" applyBorder="1"/>
    <xf numFmtId="0" fontId="2" fillId="4" borderId="0" xfId="0" applyFont="1" applyFill="1"/>
    <xf numFmtId="0" fontId="0" fillId="6" borderId="1" xfId="0" applyFill="1" applyBorder="1" applyAlignment="1">
      <alignment horizontal="center" wrapText="1"/>
    </xf>
    <xf numFmtId="14" fontId="4" fillId="6" borderId="1" xfId="0" applyNumberFormat="1" applyFont="1" applyFill="1" applyBorder="1"/>
    <xf numFmtId="0" fontId="0" fillId="2" borderId="1" xfId="0" applyFill="1" applyBorder="1" applyAlignment="1">
      <alignment horizontal="center" wrapText="1"/>
    </xf>
    <xf numFmtId="0" fontId="0" fillId="0" borderId="3" xfId="0" applyBorder="1"/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4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14" fontId="0" fillId="0" borderId="0" xfId="0" applyNumberFormat="1"/>
    <xf numFmtId="16" fontId="0" fillId="0" borderId="0" xfId="0" applyNumberFormat="1"/>
    <xf numFmtId="14" fontId="4" fillId="0" borderId="0" xfId="0" applyNumberFormat="1" applyFont="1"/>
    <xf numFmtId="0" fontId="0" fillId="5" borderId="1" xfId="0" applyFill="1" applyBorder="1"/>
    <xf numFmtId="1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0" xfId="0" applyFont="1"/>
    <xf numFmtId="14" fontId="2" fillId="5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14" fontId="0" fillId="9" borderId="1" xfId="0" applyNumberFormat="1" applyFill="1" applyBorder="1"/>
    <xf numFmtId="0" fontId="0" fillId="9" borderId="1" xfId="0" applyFill="1" applyBorder="1" applyAlignment="1">
      <alignment horizontal="center"/>
    </xf>
    <xf numFmtId="14" fontId="2" fillId="9" borderId="1" xfId="0" applyNumberFormat="1" applyFont="1" applyFill="1" applyBorder="1"/>
    <xf numFmtId="0" fontId="0" fillId="9" borderId="0" xfId="0" applyFill="1"/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14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4" fontId="2" fillId="10" borderId="1" xfId="0" applyNumberFormat="1" applyFont="1" applyFill="1" applyBorder="1"/>
    <xf numFmtId="0" fontId="0" fillId="10" borderId="1" xfId="0" applyFill="1" applyBorder="1" applyAlignment="1">
      <alignment horizontal="center"/>
    </xf>
    <xf numFmtId="14" fontId="4" fillId="2" borderId="1" xfId="0" applyNumberFormat="1" applyFont="1" applyFill="1" applyBorder="1"/>
    <xf numFmtId="0" fontId="4" fillId="2" borderId="1" xfId="0" applyFont="1" applyFill="1" applyBorder="1"/>
    <xf numFmtId="14" fontId="4" fillId="2" borderId="1" xfId="0" applyNumberFormat="1" applyFont="1" applyFill="1" applyBorder="1" applyAlignment="1">
      <alignment horizontal="center"/>
    </xf>
    <xf numFmtId="0" fontId="0" fillId="11" borderId="1" xfId="0" applyFill="1" applyBorder="1"/>
    <xf numFmtId="1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2" fillId="4" borderId="1" xfId="0" applyFont="1" applyFill="1" applyBorder="1"/>
    <xf numFmtId="0" fontId="2" fillId="10" borderId="1" xfId="0" applyFont="1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14" fontId="0" fillId="10" borderId="1" xfId="0" applyNumberFormat="1" applyFill="1" applyBorder="1"/>
    <xf numFmtId="14" fontId="4" fillId="5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14" fontId="2" fillId="10" borderId="1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2" fillId="8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14" fontId="2" fillId="8" borderId="1" xfId="0" applyNumberFormat="1" applyFont="1" applyFill="1" applyBorder="1" applyAlignment="1">
      <alignment horizontal="center"/>
    </xf>
    <xf numFmtId="14" fontId="0" fillId="10" borderId="1" xfId="0" applyNumberFormat="1" applyFill="1" applyBorder="1" applyAlignment="1">
      <alignment horizontal="right"/>
    </xf>
    <xf numFmtId="0" fontId="0" fillId="10" borderId="1" xfId="0" applyFill="1" applyBorder="1"/>
    <xf numFmtId="0" fontId="1" fillId="0" borderId="1" xfId="0" applyFont="1" applyBorder="1" applyAlignment="1">
      <alignment horizontal="center" vertical="center"/>
    </xf>
    <xf numFmtId="0" fontId="2" fillId="8" borderId="1" xfId="0" applyFont="1" applyFill="1" applyBorder="1"/>
    <xf numFmtId="14" fontId="0" fillId="12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4" fontId="0" fillId="12" borderId="1" xfId="0" applyNumberFormat="1" applyFill="1" applyBorder="1"/>
    <xf numFmtId="14" fontId="2" fillId="12" borderId="1" xfId="0" applyNumberFormat="1" applyFont="1" applyFill="1" applyBorder="1"/>
    <xf numFmtId="14" fontId="4" fillId="12" borderId="1" xfId="0" applyNumberFormat="1" applyFont="1" applyFill="1" applyBorder="1"/>
    <xf numFmtId="0" fontId="2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 wrapText="1"/>
    </xf>
    <xf numFmtId="14" fontId="0" fillId="12" borderId="1" xfId="0" applyNumberFormat="1" applyFill="1" applyBorder="1" applyAlignment="1">
      <alignment horizontal="right"/>
    </xf>
    <xf numFmtId="14" fontId="0" fillId="9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8" borderId="3" xfId="0" applyFont="1" applyFill="1" applyBorder="1"/>
    <xf numFmtId="0" fontId="2" fillId="0" borderId="7" xfId="0" applyFont="1" applyBorder="1"/>
    <xf numFmtId="0" fontId="2" fillId="0" borderId="8" xfId="0" applyFont="1" applyBorder="1"/>
    <xf numFmtId="14" fontId="0" fillId="8" borderId="1" xfId="0" applyNumberFormat="1" applyFill="1" applyBorder="1"/>
    <xf numFmtId="0" fontId="4" fillId="2" borderId="1" xfId="0" applyFont="1" applyFill="1" applyBorder="1" applyAlignment="1">
      <alignment horizontal="center" wrapText="1"/>
    </xf>
    <xf numFmtId="14" fontId="2" fillId="8" borderId="1" xfId="0" applyNumberFormat="1" applyFont="1" applyFill="1" applyBorder="1" applyAlignment="1">
      <alignment horizontal="right"/>
    </xf>
    <xf numFmtId="14" fontId="4" fillId="8" borderId="1" xfId="0" applyNumberFormat="1" applyFont="1" applyFill="1" applyBorder="1"/>
    <xf numFmtId="14" fontId="4" fillId="8" borderId="1" xfId="0" applyNumberFormat="1" applyFont="1" applyFill="1" applyBorder="1" applyAlignment="1">
      <alignment horizontal="center"/>
    </xf>
    <xf numFmtId="0" fontId="0" fillId="8" borderId="1" xfId="0" applyFill="1" applyBorder="1"/>
    <xf numFmtId="0" fontId="4" fillId="12" borderId="1" xfId="0" applyFont="1" applyFill="1" applyBorder="1" applyAlignment="1">
      <alignment horizontal="center"/>
    </xf>
    <xf numFmtId="14" fontId="0" fillId="8" borderId="1" xfId="0" applyNumberFormat="1" applyFill="1" applyBorder="1" applyAlignment="1">
      <alignment horizontal="right"/>
    </xf>
    <xf numFmtId="0" fontId="2" fillId="9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12" borderId="1" xfId="0" applyFill="1" applyBorder="1" applyAlignment="1">
      <alignment wrapText="1"/>
    </xf>
    <xf numFmtId="14" fontId="0" fillId="13" borderId="1" xfId="0" applyNumberFormat="1" applyFill="1" applyBorder="1"/>
    <xf numFmtId="0" fontId="0" fillId="13" borderId="1" xfId="0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14" fontId="2" fillId="12" borderId="1" xfId="0" applyNumberFormat="1" applyFont="1" applyFill="1" applyBorder="1" applyAlignment="1">
      <alignment horizontal="center"/>
    </xf>
    <xf numFmtId="14" fontId="2" fillId="12" borderId="1" xfId="0" applyNumberFormat="1" applyFont="1" applyFill="1" applyBorder="1" applyAlignment="1">
      <alignment horizontal="right"/>
    </xf>
    <xf numFmtId="0" fontId="2" fillId="12" borderId="1" xfId="0" applyFont="1" applyFill="1" applyBorder="1"/>
    <xf numFmtId="0" fontId="4" fillId="6" borderId="1" xfId="0" applyFont="1" applyFill="1" applyBorder="1" applyAlignment="1">
      <alignment horizontal="center" wrapText="1"/>
    </xf>
    <xf numFmtId="0" fontId="0" fillId="12" borderId="1" xfId="0" applyFill="1" applyBorder="1"/>
    <xf numFmtId="14" fontId="0" fillId="12" borderId="3" xfId="0" applyNumberFormat="1" applyFill="1" applyBorder="1"/>
    <xf numFmtId="0" fontId="0" fillId="0" borderId="1" xfId="0" applyBorder="1" applyAlignment="1">
      <alignment horizontal="center"/>
    </xf>
    <xf numFmtId="14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14" fontId="0" fillId="10" borderId="1" xfId="0" applyNumberFormat="1" applyFill="1" applyBorder="1" applyAlignment="1">
      <alignment vertical="center"/>
    </xf>
    <xf numFmtId="14" fontId="4" fillId="12" borderId="1" xfId="0" applyNumberFormat="1" applyFont="1" applyFill="1" applyBorder="1" applyAlignment="1">
      <alignment horizontal="center"/>
    </xf>
    <xf numFmtId="0" fontId="2" fillId="12" borderId="3" xfId="0" applyFont="1" applyFill="1" applyBorder="1"/>
    <xf numFmtId="14" fontId="2" fillId="8" borderId="3" xfId="0" applyNumberFormat="1" applyFont="1" applyFill="1" applyBorder="1" applyAlignment="1">
      <alignment horizontal="center"/>
    </xf>
    <xf numFmtId="0" fontId="0" fillId="8" borderId="3" xfId="0" applyFill="1" applyBorder="1"/>
    <xf numFmtId="14" fontId="0" fillId="8" borderId="3" xfId="0" applyNumberFormat="1" applyFill="1" applyBorder="1"/>
    <xf numFmtId="14" fontId="2" fillId="10" borderId="1" xfId="0" applyNumberFormat="1" applyFont="1" applyFill="1" applyBorder="1" applyAlignment="1">
      <alignment horizontal="center" wrapText="1"/>
    </xf>
    <xf numFmtId="14" fontId="2" fillId="8" borderId="1" xfId="0" applyNumberFormat="1" applyFont="1" applyFill="1" applyBorder="1" applyAlignment="1">
      <alignment horizontal="center" wrapText="1"/>
    </xf>
    <xf numFmtId="14" fontId="0" fillId="6" borderId="4" xfId="0" applyNumberFormat="1" applyFill="1" applyBorder="1" applyAlignment="1">
      <alignment horizontal="center"/>
    </xf>
    <xf numFmtId="0" fontId="0" fillId="12" borderId="1" xfId="0" applyFill="1" applyBorder="1" applyAlignment="1">
      <alignment horizontal="left"/>
    </xf>
    <xf numFmtId="0" fontId="0" fillId="11" borderId="0" xfId="0" applyFill="1"/>
    <xf numFmtId="0" fontId="0" fillId="0" borderId="2" xfId="0" applyBorder="1"/>
    <xf numFmtId="0" fontId="0" fillId="4" borderId="1" xfId="0" applyFill="1" applyBorder="1"/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14" fontId="0" fillId="14" borderId="1" xfId="0" applyNumberFormat="1" applyFill="1" applyBorder="1"/>
    <xf numFmtId="14" fontId="4" fillId="14" borderId="1" xfId="0" applyNumberFormat="1" applyFont="1" applyFill="1" applyBorder="1"/>
    <xf numFmtId="0" fontId="2" fillId="14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 wrapText="1"/>
    </xf>
    <xf numFmtId="14" fontId="0" fillId="14" borderId="1" xfId="0" applyNumberFormat="1" applyFill="1" applyBorder="1" applyAlignment="1">
      <alignment horizontal="center"/>
    </xf>
    <xf numFmtId="14" fontId="0" fillId="10" borderId="1" xfId="0" applyNumberFormat="1" applyFill="1" applyBorder="1" applyAlignment="1">
      <alignment horizontal="center" wrapText="1"/>
    </xf>
    <xf numFmtId="14" fontId="4" fillId="2" borderId="0" xfId="0" applyNumberFormat="1" applyFont="1" applyFill="1" applyAlignment="1">
      <alignment horizontal="center"/>
    </xf>
    <xf numFmtId="14" fontId="0" fillId="8" borderId="1" xfId="0" applyNumberFormat="1" applyFill="1" applyBorder="1" applyAlignment="1">
      <alignment vertical="center"/>
    </xf>
    <xf numFmtId="14" fontId="4" fillId="2" borderId="1" xfId="0" applyNumberFormat="1" applyFont="1" applyFill="1" applyBorder="1" applyAlignment="1">
      <alignment horizontal="right"/>
    </xf>
    <xf numFmtId="14" fontId="2" fillId="4" borderId="1" xfId="0" applyNumberFormat="1" applyFont="1" applyFill="1" applyBorder="1" applyAlignment="1">
      <alignment horizontal="right"/>
    </xf>
    <xf numFmtId="0" fontId="0" fillId="0" borderId="7" xfId="0" applyBorder="1"/>
    <xf numFmtId="0" fontId="3" fillId="0" borderId="5" xfId="0" applyFont="1" applyBorder="1"/>
    <xf numFmtId="0" fontId="3" fillId="0" borderId="6" xfId="0" applyFont="1" applyBorder="1"/>
    <xf numFmtId="0" fontId="3" fillId="0" borderId="3" xfId="0" applyFont="1" applyBorder="1"/>
    <xf numFmtId="14" fontId="0" fillId="6" borderId="2" xfId="0" applyNumberFormat="1" applyFill="1" applyBorder="1"/>
    <xf numFmtId="14" fontId="0" fillId="6" borderId="4" xfId="0" applyNumberFormat="1" applyFill="1" applyBorder="1"/>
    <xf numFmtId="0" fontId="0" fillId="0" borderId="8" xfId="0" applyBorder="1"/>
    <xf numFmtId="0" fontId="2" fillId="12" borderId="2" xfId="0" applyFont="1" applyFill="1" applyBorder="1" applyAlignment="1">
      <alignment horizontal="center"/>
    </xf>
    <xf numFmtId="14" fontId="4" fillId="12" borderId="0" xfId="0" applyNumberFormat="1" applyFont="1" applyFill="1" applyAlignment="1">
      <alignment horizontal="center"/>
    </xf>
    <xf numFmtId="0" fontId="0" fillId="12" borderId="3" xfId="0" applyFill="1" applyBorder="1"/>
    <xf numFmtId="0" fontId="1" fillId="3" borderId="2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/>
    <xf numFmtId="0" fontId="1" fillId="3" borderId="6" xfId="0" applyFont="1" applyFill="1" applyBorder="1"/>
    <xf numFmtId="0" fontId="1" fillId="3" borderId="3" xfId="0" applyFont="1" applyFill="1" applyBorder="1"/>
    <xf numFmtId="0" fontId="0" fillId="12" borderId="2" xfId="0" applyFill="1" applyBorder="1"/>
    <xf numFmtId="0" fontId="0" fillId="8" borderId="2" xfId="0" applyFill="1" applyBorder="1"/>
    <xf numFmtId="0" fontId="0" fillId="10" borderId="2" xfId="0" applyFill="1" applyBorder="1"/>
    <xf numFmtId="0" fontId="0" fillId="5" borderId="2" xfId="0" applyFill="1" applyBorder="1" applyAlignment="1">
      <alignment vertical="center"/>
    </xf>
    <xf numFmtId="14" fontId="0" fillId="0" borderId="3" xfId="0" applyNumberFormat="1" applyBorder="1" applyAlignment="1">
      <alignment horizontal="center"/>
    </xf>
    <xf numFmtId="0" fontId="4" fillId="0" borderId="1" xfId="0" applyFont="1" applyBorder="1" applyAlignment="1">
      <alignment horizontal="left"/>
    </xf>
    <xf numFmtId="14" fontId="0" fillId="14" borderId="4" xfId="0" applyNumberFormat="1" applyFill="1" applyBorder="1" applyAlignment="1">
      <alignment horizontal="center"/>
    </xf>
    <xf numFmtId="0" fontId="4" fillId="14" borderId="1" xfId="0" applyFont="1" applyFill="1" applyBorder="1" applyAlignment="1">
      <alignment horizontal="center" wrapText="1"/>
    </xf>
    <xf numFmtId="14" fontId="2" fillId="0" borderId="1" xfId="0" applyNumberFormat="1" applyFont="1" applyBorder="1" applyAlignment="1">
      <alignment horizontal="center"/>
    </xf>
    <xf numFmtId="14" fontId="4" fillId="4" borderId="1" xfId="0" applyNumberFormat="1" applyFont="1" applyFill="1" applyBorder="1"/>
    <xf numFmtId="14" fontId="0" fillId="4" borderId="5" xfId="0" applyNumberForma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4" fontId="0" fillId="15" borderId="1" xfId="0" applyNumberFormat="1" applyFill="1" applyBorder="1"/>
    <xf numFmtId="0" fontId="0" fillId="15" borderId="1" xfId="0" applyFill="1" applyBorder="1" applyAlignment="1">
      <alignment horizontal="center"/>
    </xf>
    <xf numFmtId="0" fontId="4" fillId="4" borderId="1" xfId="0" applyFont="1" applyFill="1" applyBorder="1"/>
    <xf numFmtId="0" fontId="0" fillId="4" borderId="2" xfId="0" applyFill="1" applyBorder="1"/>
    <xf numFmtId="14" fontId="0" fillId="4" borderId="1" xfId="0" applyNumberFormat="1" applyFill="1" applyBorder="1" applyAlignment="1">
      <alignment horizontal="right"/>
    </xf>
    <xf numFmtId="0" fontId="0" fillId="4" borderId="0" xfId="0" applyFill="1"/>
    <xf numFmtId="0" fontId="2" fillId="4" borderId="3" xfId="0" applyFont="1" applyFill="1" applyBorder="1"/>
    <xf numFmtId="0" fontId="4" fillId="2" borderId="2" xfId="0" applyFont="1" applyFill="1" applyBorder="1" applyAlignment="1">
      <alignment vertical="center"/>
    </xf>
    <xf numFmtId="14" fontId="4" fillId="11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4" fontId="4" fillId="11" borderId="1" xfId="0" applyNumberFormat="1" applyFont="1" applyFill="1" applyBorder="1"/>
    <xf numFmtId="0" fontId="4" fillId="11" borderId="1" xfId="0" applyFont="1" applyFill="1" applyBorder="1"/>
    <xf numFmtId="0" fontId="0" fillId="11" borderId="2" xfId="0" applyFill="1" applyBorder="1"/>
    <xf numFmtId="14" fontId="0" fillId="11" borderId="1" xfId="0" applyNumberFormat="1" applyFill="1" applyBorder="1" applyAlignment="1">
      <alignment horizontal="center"/>
    </xf>
    <xf numFmtId="14" fontId="0" fillId="11" borderId="1" xfId="0" applyNumberFormat="1" applyFill="1" applyBorder="1"/>
    <xf numFmtId="14" fontId="2" fillId="11" borderId="1" xfId="0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14" fontId="0" fillId="12" borderId="1" xfId="0" applyNumberFormat="1" applyFill="1" applyBorder="1" applyAlignment="1">
      <alignment horizontal="center" wrapText="1"/>
    </xf>
    <xf numFmtId="0" fontId="0" fillId="3" borderId="2" xfId="0" applyFill="1" applyBorder="1"/>
    <xf numFmtId="0" fontId="2" fillId="3" borderId="1" xfId="0" applyFont="1" applyFill="1" applyBorder="1" applyAlignment="1">
      <alignment horizontal="center"/>
    </xf>
    <xf numFmtId="14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4" fillId="11" borderId="1" xfId="0" applyFont="1" applyFill="1" applyBorder="1" applyAlignment="1">
      <alignment horizontal="center" wrapText="1"/>
    </xf>
    <xf numFmtId="14" fontId="4" fillId="2" borderId="1" xfId="0" applyNumberFormat="1" applyFont="1" applyFill="1" applyBorder="1" applyAlignment="1">
      <alignment horizontal="left"/>
    </xf>
    <xf numFmtId="0" fontId="4" fillId="2" borderId="2" xfId="0" applyFont="1" applyFill="1" applyBorder="1"/>
    <xf numFmtId="0" fontId="4" fillId="2" borderId="8" xfId="0" applyFont="1" applyFill="1" applyBorder="1"/>
    <xf numFmtId="0" fontId="4" fillId="2" borderId="7" xfId="0" applyFont="1" applyFill="1" applyBorder="1"/>
    <xf numFmtId="14" fontId="0" fillId="16" borderId="1" xfId="0" applyNumberFormat="1" applyFill="1" applyBorder="1"/>
    <xf numFmtId="14" fontId="0" fillId="16" borderId="3" xfId="0" applyNumberFormat="1" applyFill="1" applyBorder="1"/>
    <xf numFmtId="0" fontId="0" fillId="16" borderId="3" xfId="0" applyFill="1" applyBorder="1" applyAlignment="1">
      <alignment horizontal="center"/>
    </xf>
    <xf numFmtId="0" fontId="4" fillId="5" borderId="7" xfId="0" applyFont="1" applyFill="1" applyBorder="1"/>
    <xf numFmtId="0" fontId="4" fillId="5" borderId="1" xfId="0" applyFont="1" applyFill="1" applyBorder="1" applyAlignment="1">
      <alignment wrapText="1"/>
    </xf>
    <xf numFmtId="0" fontId="0" fillId="11" borderId="7" xfId="0" applyFill="1" applyBorder="1"/>
    <xf numFmtId="0" fontId="0" fillId="11" borderId="1" xfId="0" applyFill="1" applyBorder="1" applyAlignment="1">
      <alignment wrapText="1"/>
    </xf>
    <xf numFmtId="0" fontId="0" fillId="11" borderId="2" xfId="0" applyFill="1" applyBorder="1" applyAlignment="1">
      <alignment vertical="center"/>
    </xf>
    <xf numFmtId="0" fontId="2" fillId="5" borderId="0" xfId="0" applyFont="1" applyFill="1"/>
    <xf numFmtId="0" fontId="0" fillId="4" borderId="1" xfId="0" applyFill="1" applyBorder="1" applyAlignment="1">
      <alignment wrapText="1"/>
    </xf>
    <xf numFmtId="14" fontId="2" fillId="5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left"/>
    </xf>
    <xf numFmtId="0" fontId="0" fillId="11" borderId="1" xfId="0" applyFill="1" applyBorder="1" applyAlignment="1">
      <alignment horizontal="center" wrapText="1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center"/>
    </xf>
    <xf numFmtId="14" fontId="4" fillId="7" borderId="1" xfId="0" applyNumberFormat="1" applyFont="1" applyFill="1" applyBorder="1" applyAlignment="1">
      <alignment horizontal="center"/>
    </xf>
    <xf numFmtId="0" fontId="0" fillId="7" borderId="1" xfId="0" applyFill="1" applyBorder="1"/>
    <xf numFmtId="0" fontId="0" fillId="11" borderId="1" xfId="0" applyFill="1" applyBorder="1" applyAlignment="1">
      <alignment horizontal="left"/>
    </xf>
    <xf numFmtId="0" fontId="4" fillId="5" borderId="1" xfId="0" applyFont="1" applyFill="1" applyBorder="1"/>
    <xf numFmtId="0" fontId="4" fillId="11" borderId="1" xfId="0" applyFont="1" applyFill="1" applyBorder="1" applyAlignment="1">
      <alignment wrapText="1"/>
    </xf>
    <xf numFmtId="14" fontId="4" fillId="17" borderId="1" xfId="0" applyNumberFormat="1" applyFont="1" applyFill="1" applyBorder="1"/>
    <xf numFmtId="14" fontId="4" fillId="17" borderId="3" xfId="0" applyNumberFormat="1" applyFont="1" applyFill="1" applyBorder="1"/>
    <xf numFmtId="0" fontId="4" fillId="5" borderId="2" xfId="0" applyFont="1" applyFill="1" applyBorder="1" applyAlignment="1">
      <alignment vertical="center"/>
    </xf>
    <xf numFmtId="0" fontId="6" fillId="0" borderId="5" xfId="0" applyFont="1" applyBorder="1"/>
    <xf numFmtId="0" fontId="4" fillId="10" borderId="2" xfId="0" applyFont="1" applyFill="1" applyBorder="1"/>
    <xf numFmtId="0" fontId="4" fillId="8" borderId="2" xfId="0" applyFont="1" applyFill="1" applyBorder="1"/>
    <xf numFmtId="0" fontId="4" fillId="12" borderId="2" xfId="0" applyFont="1" applyFill="1" applyBorder="1"/>
    <xf numFmtId="0" fontId="4" fillId="4" borderId="1" xfId="0" applyFont="1" applyFill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/>
    <xf numFmtId="14" fontId="1" fillId="0" borderId="0" xfId="0" applyNumberFormat="1" applyFont="1"/>
    <xf numFmtId="0" fontId="0" fillId="18" borderId="1" xfId="0" applyFill="1" applyBorder="1"/>
    <xf numFmtId="0" fontId="4" fillId="18" borderId="1" xfId="0" applyFont="1" applyFill="1" applyBorder="1" applyAlignment="1">
      <alignment horizontal="center"/>
    </xf>
    <xf numFmtId="14" fontId="0" fillId="18" borderId="1" xfId="0" applyNumberFormat="1" applyFill="1" applyBorder="1"/>
    <xf numFmtId="0" fontId="0" fillId="18" borderId="1" xfId="0" applyFill="1" applyBorder="1" applyAlignment="1">
      <alignment horizontal="center"/>
    </xf>
    <xf numFmtId="0" fontId="0" fillId="18" borderId="1" xfId="0" applyFill="1" applyBorder="1" applyAlignment="1">
      <alignment wrapText="1"/>
    </xf>
    <xf numFmtId="0" fontId="4" fillId="18" borderId="1" xfId="0" applyFont="1" applyFill="1" applyBorder="1"/>
    <xf numFmtId="14" fontId="4" fillId="18" borderId="1" xfId="0" applyNumberFormat="1" applyFont="1" applyFill="1" applyBorder="1" applyAlignment="1">
      <alignment horizontal="center"/>
    </xf>
    <xf numFmtId="14" fontId="0" fillId="12" borderId="5" xfId="0" applyNumberFormat="1" applyFill="1" applyBorder="1" applyAlignment="1">
      <alignment horizontal="center"/>
    </xf>
    <xf numFmtId="14" fontId="0" fillId="12" borderId="6" xfId="0" applyNumberFormat="1" applyFill="1" applyBorder="1" applyAlignment="1">
      <alignment horizontal="center"/>
    </xf>
    <xf numFmtId="14" fontId="0" fillId="12" borderId="3" xfId="0" applyNumberForma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11" borderId="1" xfId="0" applyFont="1" applyFill="1" applyBorder="1"/>
    <xf numFmtId="14" fontId="0" fillId="11" borderId="1" xfId="0" applyNumberFormat="1" applyFont="1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14" fontId="0" fillId="11" borderId="1" xfId="0" applyNumberFormat="1" applyFont="1" applyFill="1" applyBorder="1"/>
    <xf numFmtId="14" fontId="0" fillId="8" borderId="1" xfId="0" applyNumberFormat="1" applyFont="1" applyFill="1" applyBorder="1"/>
    <xf numFmtId="0" fontId="0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4534A-FBA4-7E47-93A5-BE23100185BC}">
  <sheetPr>
    <tabColor rgb="FFFF0000"/>
  </sheetPr>
  <dimension ref="A3:AJ181"/>
  <sheetViews>
    <sheetView tabSelected="1" zoomScale="190" zoomScaleNormal="190" zoomScaleSheetLayoutView="100" workbookViewId="0"/>
  </sheetViews>
  <sheetFormatPr baseColWidth="10" defaultColWidth="8.83203125" defaultRowHeight="15" x14ac:dyDescent="0.2"/>
  <cols>
    <col min="1" max="1" width="30.6640625" bestFit="1" customWidth="1"/>
    <col min="2" max="2" width="14.6640625" customWidth="1"/>
    <col min="3" max="3" width="22.5" customWidth="1"/>
    <col min="4" max="4" width="11.83203125" customWidth="1"/>
    <col min="5" max="5" width="10.33203125" bestFit="1" customWidth="1"/>
    <col min="6" max="6" width="11.5" customWidth="1"/>
    <col min="7" max="7" width="10.5" bestFit="1" customWidth="1"/>
    <col min="8" max="9" width="12" bestFit="1" customWidth="1"/>
    <col min="10" max="12" width="10.33203125" bestFit="1" customWidth="1"/>
    <col min="13" max="13" width="7.6640625" customWidth="1"/>
    <col min="14" max="14" width="6.6640625" customWidth="1"/>
    <col min="15" max="15" width="88" bestFit="1" customWidth="1"/>
    <col min="16" max="16" width="67" bestFit="1" customWidth="1"/>
    <col min="17" max="19" width="10.6640625" bestFit="1" customWidth="1"/>
  </cols>
  <sheetData>
    <row r="3" spans="1:36" ht="19" x14ac:dyDescent="0.25">
      <c r="A3" s="139" t="s">
        <v>9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1"/>
    </row>
    <row r="4" spans="1:36" x14ac:dyDescent="0.2">
      <c r="A4" s="148" t="s">
        <v>23</v>
      </c>
      <c r="B4" s="148" t="s">
        <v>17</v>
      </c>
      <c r="C4" s="148" t="s">
        <v>18</v>
      </c>
      <c r="D4" s="148" t="s">
        <v>22</v>
      </c>
      <c r="E4" s="150" t="s">
        <v>19</v>
      </c>
      <c r="F4" s="151"/>
      <c r="G4" s="152"/>
      <c r="H4" s="150" t="s">
        <v>21</v>
      </c>
      <c r="I4" s="151"/>
      <c r="J4" s="152"/>
      <c r="K4" s="3"/>
      <c r="L4" s="3"/>
      <c r="M4" s="3"/>
      <c r="N4" s="148" t="s">
        <v>16</v>
      </c>
      <c r="O4" s="148" t="s">
        <v>15</v>
      </c>
    </row>
    <row r="5" spans="1:36" x14ac:dyDescent="0.2">
      <c r="A5" s="149"/>
      <c r="B5" s="149"/>
      <c r="C5" s="149"/>
      <c r="D5" s="149"/>
      <c r="E5" s="3" t="s">
        <v>7</v>
      </c>
      <c r="F5" s="3" t="s">
        <v>8</v>
      </c>
      <c r="G5" s="3" t="s">
        <v>20</v>
      </c>
      <c r="H5" s="3" t="s">
        <v>7</v>
      </c>
      <c r="I5" s="3" t="s">
        <v>8</v>
      </c>
      <c r="J5" s="3" t="s">
        <v>20</v>
      </c>
      <c r="K5" s="3"/>
      <c r="L5" s="3"/>
      <c r="M5" s="3"/>
      <c r="N5" s="149"/>
      <c r="O5" s="149"/>
    </row>
    <row r="6" spans="1:36" hidden="1" x14ac:dyDescent="0.2">
      <c r="A6" s="155" t="s">
        <v>3</v>
      </c>
      <c r="B6" s="46">
        <v>41761</v>
      </c>
      <c r="C6" s="41" t="s">
        <v>35</v>
      </c>
      <c r="D6" s="60">
        <v>45017</v>
      </c>
      <c r="E6" s="49">
        <v>44916</v>
      </c>
      <c r="F6" s="49">
        <v>44925</v>
      </c>
      <c r="G6" s="50">
        <f t="shared" ref="G6:G37" si="0">(F6-E6)+1</f>
        <v>10</v>
      </c>
      <c r="H6" s="61">
        <v>44956</v>
      </c>
      <c r="I6" s="61">
        <v>44975</v>
      </c>
      <c r="J6" s="50">
        <f t="shared" ref="J6:J31" si="1">(I6-H6)+1</f>
        <v>20</v>
      </c>
      <c r="K6" s="47"/>
      <c r="L6" s="47"/>
      <c r="M6" s="47"/>
      <c r="N6" s="47"/>
      <c r="O6" s="46" t="s">
        <v>58</v>
      </c>
    </row>
    <row r="7" spans="1:36" hidden="1" x14ac:dyDescent="0.2">
      <c r="A7" s="154" t="s">
        <v>3</v>
      </c>
      <c r="B7" s="70">
        <v>41761</v>
      </c>
      <c r="C7" s="67" t="s">
        <v>41</v>
      </c>
      <c r="D7" s="66">
        <v>45383</v>
      </c>
      <c r="E7" s="88">
        <v>45306</v>
      </c>
      <c r="F7" s="88">
        <v>45335</v>
      </c>
      <c r="G7" s="67">
        <f t="shared" si="0"/>
        <v>30</v>
      </c>
      <c r="H7" s="88"/>
      <c r="I7" s="88"/>
      <c r="J7" s="67"/>
      <c r="K7" s="69"/>
      <c r="L7" s="69"/>
      <c r="M7" s="69"/>
      <c r="N7" s="69"/>
      <c r="O7" s="66" t="s">
        <v>60</v>
      </c>
    </row>
    <row r="8" spans="1:36" hidden="1" x14ac:dyDescent="0.2">
      <c r="A8" s="153" t="s">
        <v>3</v>
      </c>
      <c r="B8" s="103">
        <v>41761</v>
      </c>
      <c r="C8" s="76" t="s">
        <v>54</v>
      </c>
      <c r="D8" s="75">
        <v>45748</v>
      </c>
      <c r="E8" s="77">
        <v>45455</v>
      </c>
      <c r="F8" s="77">
        <v>45469</v>
      </c>
      <c r="G8" s="76">
        <f t="shared" si="0"/>
        <v>15</v>
      </c>
      <c r="H8" s="77">
        <v>45637</v>
      </c>
      <c r="I8" s="77">
        <v>45651</v>
      </c>
      <c r="J8" s="76">
        <f t="shared" si="1"/>
        <v>15</v>
      </c>
      <c r="K8" s="80"/>
      <c r="L8" s="80"/>
      <c r="M8" s="80"/>
      <c r="N8" s="80"/>
      <c r="O8" s="75" t="s">
        <v>99</v>
      </c>
    </row>
    <row r="9" spans="1:36" ht="16" hidden="1" x14ac:dyDescent="0.2">
      <c r="A9" s="125" t="s">
        <v>3</v>
      </c>
      <c r="B9" s="6">
        <v>41761</v>
      </c>
      <c r="C9" s="7" t="s">
        <v>62</v>
      </c>
      <c r="D9" s="6">
        <v>46113</v>
      </c>
      <c r="E9" s="8">
        <v>45901</v>
      </c>
      <c r="F9" s="8">
        <v>45930</v>
      </c>
      <c r="G9" s="7">
        <f t="shared" si="0"/>
        <v>30</v>
      </c>
      <c r="H9" s="125"/>
      <c r="I9" s="125"/>
      <c r="J9" s="7">
        <f t="shared" si="1"/>
        <v>1</v>
      </c>
      <c r="K9" s="125"/>
      <c r="L9" s="125"/>
      <c r="M9" s="125"/>
      <c r="N9" s="125"/>
      <c r="O9" s="201" t="s">
        <v>112</v>
      </c>
    </row>
    <row r="10" spans="1:36" s="17" customFormat="1" hidden="1" x14ac:dyDescent="0.2">
      <c r="A10" s="155" t="s">
        <v>4</v>
      </c>
      <c r="B10" s="60">
        <v>41892</v>
      </c>
      <c r="C10" s="50" t="s">
        <v>35</v>
      </c>
      <c r="D10" s="64">
        <v>45147</v>
      </c>
      <c r="E10" s="100">
        <v>45048</v>
      </c>
      <c r="F10" s="100">
        <v>45062</v>
      </c>
      <c r="G10" s="101">
        <f t="shared" si="0"/>
        <v>15</v>
      </c>
      <c r="H10" s="100">
        <v>45124</v>
      </c>
      <c r="I10" s="100">
        <v>45138</v>
      </c>
      <c r="J10" s="101">
        <f t="shared" si="1"/>
        <v>15</v>
      </c>
      <c r="K10" s="102"/>
      <c r="L10" s="47"/>
      <c r="M10" s="47"/>
      <c r="N10" s="47"/>
      <c r="O10" s="46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s="17" customFormat="1" hidden="1" x14ac:dyDescent="0.2">
      <c r="A11" s="154" t="s">
        <v>4</v>
      </c>
      <c r="B11" s="66">
        <v>41892</v>
      </c>
      <c r="C11" s="67" t="s">
        <v>41</v>
      </c>
      <c r="D11" s="70">
        <v>45513</v>
      </c>
      <c r="E11" s="88">
        <v>45306</v>
      </c>
      <c r="F11" s="88">
        <v>45320</v>
      </c>
      <c r="G11" s="67">
        <f t="shared" si="0"/>
        <v>15</v>
      </c>
      <c r="H11" s="88">
        <v>45539</v>
      </c>
      <c r="I11" s="88">
        <v>45553</v>
      </c>
      <c r="J11" s="67">
        <f t="shared" si="1"/>
        <v>15</v>
      </c>
      <c r="K11" s="69"/>
      <c r="L11" s="69"/>
      <c r="M11" s="69"/>
      <c r="N11" s="69"/>
      <c r="O11" s="53" t="s">
        <v>88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</row>
    <row r="12" spans="1:36" s="17" customFormat="1" x14ac:dyDescent="0.2">
      <c r="A12" s="54" t="s">
        <v>3</v>
      </c>
      <c r="B12" s="178">
        <v>41761</v>
      </c>
      <c r="C12" s="181" t="s">
        <v>116</v>
      </c>
      <c r="D12" s="178">
        <v>46478</v>
      </c>
      <c r="E12" s="51"/>
      <c r="F12" s="51"/>
      <c r="G12" s="39">
        <f t="shared" si="0"/>
        <v>1</v>
      </c>
      <c r="H12" s="179"/>
      <c r="I12" s="179"/>
      <c r="J12" s="174"/>
      <c r="K12" s="56"/>
      <c r="L12" s="56"/>
      <c r="M12" s="56"/>
      <c r="N12" s="56"/>
      <c r="O12" s="173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</row>
    <row r="13" spans="1:36" s="17" customFormat="1" hidden="1" x14ac:dyDescent="0.2">
      <c r="A13" s="153" t="s">
        <v>4</v>
      </c>
      <c r="B13" s="75">
        <v>41892</v>
      </c>
      <c r="C13" s="76" t="s">
        <v>54</v>
      </c>
      <c r="D13" s="103">
        <v>45878</v>
      </c>
      <c r="E13" s="77">
        <v>45853</v>
      </c>
      <c r="F13" s="77">
        <v>45882</v>
      </c>
      <c r="G13" s="76">
        <f t="shared" si="0"/>
        <v>30</v>
      </c>
      <c r="H13" s="79"/>
      <c r="I13" s="79"/>
      <c r="J13" s="94"/>
      <c r="K13" s="80"/>
      <c r="L13" s="80"/>
      <c r="M13" s="80"/>
      <c r="N13" s="80"/>
      <c r="O13" s="10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</row>
    <row r="14" spans="1:36" x14ac:dyDescent="0.2">
      <c r="A14" s="125" t="s">
        <v>4</v>
      </c>
      <c r="B14" s="6">
        <v>41892</v>
      </c>
      <c r="C14" s="7" t="s">
        <v>62</v>
      </c>
      <c r="D14" s="53">
        <v>46243</v>
      </c>
      <c r="E14" s="51">
        <v>46169</v>
      </c>
      <c r="F14" s="51">
        <v>46188</v>
      </c>
      <c r="G14" s="39">
        <f t="shared" si="0"/>
        <v>20</v>
      </c>
      <c r="H14" s="51">
        <v>46204</v>
      </c>
      <c r="I14" s="51">
        <v>46213</v>
      </c>
      <c r="J14" s="39">
        <f t="shared" si="1"/>
        <v>10</v>
      </c>
      <c r="K14" s="125"/>
      <c r="L14" s="125"/>
      <c r="M14" s="125"/>
      <c r="N14" s="125"/>
      <c r="O14" s="125"/>
    </row>
    <row r="15" spans="1:36" hidden="1" x14ac:dyDescent="0.2">
      <c r="A15" s="155" t="s">
        <v>5</v>
      </c>
      <c r="B15" s="60">
        <v>41883</v>
      </c>
      <c r="C15" s="50" t="s">
        <v>35</v>
      </c>
      <c r="D15" s="60">
        <v>45137</v>
      </c>
      <c r="E15" s="61">
        <v>44914</v>
      </c>
      <c r="F15" s="61">
        <v>44928</v>
      </c>
      <c r="G15" s="50">
        <f t="shared" si="0"/>
        <v>15</v>
      </c>
      <c r="H15" s="40">
        <v>45110</v>
      </c>
      <c r="I15" s="40">
        <v>45124</v>
      </c>
      <c r="J15" s="41">
        <f t="shared" si="1"/>
        <v>15</v>
      </c>
      <c r="K15" s="50"/>
      <c r="L15" s="50"/>
      <c r="M15" s="50"/>
      <c r="N15" s="59"/>
      <c r="O15" s="119"/>
      <c r="R15" s="32"/>
      <c r="S15" s="32"/>
    </row>
    <row r="16" spans="1:36" hidden="1" x14ac:dyDescent="0.2">
      <c r="A16" s="154" t="s">
        <v>5</v>
      </c>
      <c r="B16" s="66">
        <v>41883</v>
      </c>
      <c r="C16" s="67" t="s">
        <v>41</v>
      </c>
      <c r="D16" s="66">
        <v>45503</v>
      </c>
      <c r="E16" s="88">
        <v>45286</v>
      </c>
      <c r="F16" s="88">
        <v>45300</v>
      </c>
      <c r="G16" s="67">
        <f t="shared" si="0"/>
        <v>15</v>
      </c>
      <c r="H16" s="88">
        <v>45467</v>
      </c>
      <c r="I16" s="88">
        <v>45481</v>
      </c>
      <c r="J16" s="67">
        <f t="shared" si="1"/>
        <v>15</v>
      </c>
      <c r="K16" s="67"/>
      <c r="L16" s="67"/>
      <c r="M16" s="67"/>
      <c r="N16" s="69"/>
      <c r="O16" s="120"/>
      <c r="R16" s="32"/>
      <c r="S16" s="32"/>
    </row>
    <row r="17" spans="1:36" s="17" customFormat="1" x14ac:dyDescent="0.2">
      <c r="A17" s="54" t="s">
        <v>4</v>
      </c>
      <c r="B17" s="178">
        <v>41892</v>
      </c>
      <c r="C17" s="181" t="s">
        <v>116</v>
      </c>
      <c r="D17" s="178">
        <v>46608</v>
      </c>
      <c r="E17" s="179"/>
      <c r="F17" s="179"/>
      <c r="G17" s="174">
        <f t="shared" ref="G17" si="2">(F17-E17)+1</f>
        <v>1</v>
      </c>
      <c r="H17" s="179"/>
      <c r="I17" s="179"/>
      <c r="J17" s="174"/>
      <c r="K17" s="56"/>
      <c r="L17" s="56"/>
      <c r="M17" s="56"/>
      <c r="N17" s="56"/>
      <c r="O17" s="173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 spans="1:36" ht="16" hidden="1" x14ac:dyDescent="0.2">
      <c r="A18" s="153" t="s">
        <v>5</v>
      </c>
      <c r="B18" s="75">
        <v>41883</v>
      </c>
      <c r="C18" s="76" t="s">
        <v>54</v>
      </c>
      <c r="D18" s="75">
        <v>45868</v>
      </c>
      <c r="E18" s="77">
        <v>45644</v>
      </c>
      <c r="F18" s="77">
        <v>45658</v>
      </c>
      <c r="G18" s="76">
        <f t="shared" si="0"/>
        <v>15</v>
      </c>
      <c r="H18" s="77">
        <v>45839</v>
      </c>
      <c r="I18" s="77">
        <v>45853</v>
      </c>
      <c r="J18" s="76">
        <f t="shared" si="1"/>
        <v>15</v>
      </c>
      <c r="K18" s="76"/>
      <c r="L18" s="76"/>
      <c r="M18" s="76"/>
      <c r="N18" s="80"/>
      <c r="O18" s="182" t="s">
        <v>111</v>
      </c>
      <c r="R18" s="32"/>
      <c r="S18" s="32"/>
    </row>
    <row r="19" spans="1:36" x14ac:dyDescent="0.2">
      <c r="A19" s="52" t="s">
        <v>5</v>
      </c>
      <c r="B19" s="6">
        <v>41883</v>
      </c>
      <c r="C19" s="7" t="s">
        <v>62</v>
      </c>
      <c r="D19" s="6">
        <v>46233</v>
      </c>
      <c r="E19" s="8">
        <v>46027</v>
      </c>
      <c r="F19" s="8">
        <v>46041</v>
      </c>
      <c r="G19" s="7">
        <f t="shared" si="0"/>
        <v>15</v>
      </c>
      <c r="H19" s="51">
        <v>46204</v>
      </c>
      <c r="I19" s="51">
        <v>46218</v>
      </c>
      <c r="J19" s="39">
        <f t="shared" si="1"/>
        <v>15</v>
      </c>
      <c r="K19" s="125"/>
      <c r="L19" s="125"/>
      <c r="M19" s="125"/>
      <c r="N19" s="125"/>
      <c r="O19" s="52" t="s">
        <v>133</v>
      </c>
    </row>
    <row r="20" spans="1:36" hidden="1" x14ac:dyDescent="0.2">
      <c r="A20" s="156" t="s">
        <v>2</v>
      </c>
      <c r="B20" s="44">
        <v>41946</v>
      </c>
      <c r="C20" s="30" t="s">
        <v>31</v>
      </c>
      <c r="D20" s="44">
        <v>44836</v>
      </c>
      <c r="E20" s="29">
        <v>44655</v>
      </c>
      <c r="F20" s="29">
        <v>44664</v>
      </c>
      <c r="G20" s="30">
        <f t="shared" si="0"/>
        <v>10</v>
      </c>
      <c r="H20" s="29">
        <v>44816</v>
      </c>
      <c r="I20" s="29">
        <v>44835</v>
      </c>
      <c r="J20" s="30">
        <f t="shared" si="1"/>
        <v>20</v>
      </c>
      <c r="K20" s="30"/>
      <c r="L20" s="30"/>
      <c r="M20" s="30"/>
      <c r="N20" s="48"/>
      <c r="O20" s="48" t="s">
        <v>100</v>
      </c>
    </row>
    <row r="21" spans="1:36" ht="32" hidden="1" x14ac:dyDescent="0.2">
      <c r="A21" s="155" t="s">
        <v>2</v>
      </c>
      <c r="B21" s="60">
        <v>41946</v>
      </c>
      <c r="C21" s="41" t="s">
        <v>35</v>
      </c>
      <c r="D21" s="60">
        <v>45201</v>
      </c>
      <c r="E21" s="40">
        <v>44986</v>
      </c>
      <c r="F21" s="40">
        <v>44995</v>
      </c>
      <c r="G21" s="41">
        <f t="shared" si="0"/>
        <v>10</v>
      </c>
      <c r="H21" s="61">
        <v>45061</v>
      </c>
      <c r="I21" s="61">
        <v>45080</v>
      </c>
      <c r="J21" s="50">
        <f t="shared" si="1"/>
        <v>20</v>
      </c>
      <c r="K21" s="50"/>
      <c r="L21" s="50"/>
      <c r="M21" s="50"/>
      <c r="N21" s="50"/>
      <c r="O21" s="133" t="s">
        <v>81</v>
      </c>
    </row>
    <row r="22" spans="1:36" hidden="1" x14ac:dyDescent="0.2">
      <c r="A22" s="154" t="s">
        <v>2</v>
      </c>
      <c r="B22" s="66">
        <v>41946</v>
      </c>
      <c r="C22" s="67" t="s">
        <v>41</v>
      </c>
      <c r="D22" s="66">
        <v>45567</v>
      </c>
      <c r="E22" s="88">
        <v>45362</v>
      </c>
      <c r="F22" s="88">
        <v>45376</v>
      </c>
      <c r="G22" s="67">
        <f t="shared" si="0"/>
        <v>15</v>
      </c>
      <c r="H22" s="88">
        <v>45537</v>
      </c>
      <c r="I22" s="88">
        <v>45551</v>
      </c>
      <c r="J22" s="67">
        <f t="shared" si="1"/>
        <v>15</v>
      </c>
      <c r="K22" s="69"/>
      <c r="L22" s="69"/>
      <c r="M22" s="69"/>
      <c r="N22" s="69"/>
      <c r="O22" s="53" t="s">
        <v>89</v>
      </c>
    </row>
    <row r="23" spans="1:36" s="17" customFormat="1" x14ac:dyDescent="0.2">
      <c r="A23" s="176" t="s">
        <v>5</v>
      </c>
      <c r="B23" s="178">
        <v>41883</v>
      </c>
      <c r="C23" s="181" t="s">
        <v>116</v>
      </c>
      <c r="D23" s="178">
        <v>46598</v>
      </c>
      <c r="E23" s="51"/>
      <c r="F23" s="51"/>
      <c r="G23" s="39">
        <f t="shared" si="0"/>
        <v>1</v>
      </c>
      <c r="H23" s="179"/>
      <c r="I23" s="179"/>
      <c r="J23" s="174"/>
      <c r="K23" s="56"/>
      <c r="L23" s="56"/>
      <c r="M23" s="56"/>
      <c r="N23" s="56"/>
      <c r="O23" s="17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 spans="1:36" ht="16" hidden="1" x14ac:dyDescent="0.2">
      <c r="A24" s="153" t="s">
        <v>2</v>
      </c>
      <c r="B24" s="75">
        <v>41946</v>
      </c>
      <c r="C24" s="76" t="s">
        <v>54</v>
      </c>
      <c r="D24" s="75">
        <v>45932</v>
      </c>
      <c r="E24" s="77">
        <v>45726</v>
      </c>
      <c r="F24" s="77">
        <v>45755</v>
      </c>
      <c r="G24" s="76">
        <f t="shared" si="0"/>
        <v>30</v>
      </c>
      <c r="H24" s="77"/>
      <c r="I24" s="77"/>
      <c r="J24" s="76">
        <f t="shared" si="1"/>
        <v>1</v>
      </c>
      <c r="K24" s="80"/>
      <c r="L24" s="80"/>
      <c r="M24" s="80"/>
      <c r="N24" s="80"/>
      <c r="O24" s="182" t="s">
        <v>113</v>
      </c>
    </row>
    <row r="25" spans="1:36" x14ac:dyDescent="0.2">
      <c r="A25" s="52" t="s">
        <v>2</v>
      </c>
      <c r="B25" s="6">
        <v>41946</v>
      </c>
      <c r="C25" s="7" t="s">
        <v>62</v>
      </c>
      <c r="D25" s="6">
        <v>46297</v>
      </c>
      <c r="E25" s="8">
        <v>46104</v>
      </c>
      <c r="F25" s="8">
        <v>46113</v>
      </c>
      <c r="G25" s="7">
        <f t="shared" si="0"/>
        <v>10</v>
      </c>
      <c r="H25" s="51">
        <v>46266</v>
      </c>
      <c r="I25" s="51">
        <v>46285</v>
      </c>
      <c r="J25" s="39">
        <f t="shared" si="1"/>
        <v>20</v>
      </c>
      <c r="K25" s="125"/>
      <c r="L25" s="125"/>
      <c r="M25" s="125"/>
      <c r="N25" s="125"/>
      <c r="O25" s="52" t="s">
        <v>147</v>
      </c>
    </row>
    <row r="26" spans="1:36" hidden="1" x14ac:dyDescent="0.2">
      <c r="A26" s="154" t="s">
        <v>40</v>
      </c>
      <c r="B26" s="66">
        <v>44648</v>
      </c>
      <c r="C26" s="67" t="s">
        <v>41</v>
      </c>
      <c r="D26" s="66">
        <v>45349</v>
      </c>
      <c r="E26" s="88">
        <v>45145</v>
      </c>
      <c r="F26" s="88">
        <v>45159</v>
      </c>
      <c r="G26" s="67">
        <f>(F26-E26)+1</f>
        <v>15</v>
      </c>
      <c r="H26" s="88">
        <v>45313</v>
      </c>
      <c r="I26" s="88">
        <v>45327</v>
      </c>
      <c r="J26" s="67">
        <f>(I26-H26)+1</f>
        <v>15</v>
      </c>
      <c r="K26" s="69"/>
      <c r="L26" s="69"/>
      <c r="M26" s="69"/>
      <c r="N26" s="69"/>
      <c r="O26" s="70"/>
    </row>
    <row r="27" spans="1:36" hidden="1" x14ac:dyDescent="0.2">
      <c r="A27" s="153" t="s">
        <v>40</v>
      </c>
      <c r="B27" s="75">
        <v>44648</v>
      </c>
      <c r="C27" s="76" t="s">
        <v>54</v>
      </c>
      <c r="D27" s="75">
        <v>45715</v>
      </c>
      <c r="E27" s="77">
        <v>45481</v>
      </c>
      <c r="F27" s="77">
        <v>45490</v>
      </c>
      <c r="G27" s="76">
        <f>(F27-E27)+1</f>
        <v>10</v>
      </c>
      <c r="H27" s="77">
        <v>45698</v>
      </c>
      <c r="I27" s="77">
        <v>45717</v>
      </c>
      <c r="J27" s="76">
        <f>(I27-H27)+1</f>
        <v>20</v>
      </c>
      <c r="K27" s="80"/>
      <c r="L27" s="80"/>
      <c r="M27" s="80"/>
      <c r="N27" s="80"/>
      <c r="O27" s="103"/>
    </row>
    <row r="28" spans="1:36" hidden="1" x14ac:dyDescent="0.2">
      <c r="A28" s="125" t="s">
        <v>40</v>
      </c>
      <c r="B28" s="6">
        <v>44648</v>
      </c>
      <c r="C28" s="7" t="s">
        <v>62</v>
      </c>
      <c r="D28" s="6">
        <v>46080</v>
      </c>
      <c r="E28" s="167"/>
      <c r="F28" s="167"/>
      <c r="G28" s="7">
        <f>(F28-E28)+1</f>
        <v>1</v>
      </c>
      <c r="H28" s="125"/>
      <c r="I28" s="125"/>
      <c r="J28" s="7">
        <f>(I28-H28)+1</f>
        <v>1</v>
      </c>
      <c r="K28" s="125"/>
      <c r="L28" s="125"/>
      <c r="M28" s="125"/>
      <c r="N28" s="125"/>
      <c r="O28" s="125"/>
    </row>
    <row r="29" spans="1:36" x14ac:dyDescent="0.2">
      <c r="A29" s="176" t="s">
        <v>2</v>
      </c>
      <c r="B29" s="178">
        <v>41946</v>
      </c>
      <c r="C29" s="181" t="s">
        <v>116</v>
      </c>
      <c r="D29" s="178">
        <v>46662</v>
      </c>
      <c r="E29" s="52"/>
      <c r="F29" s="52"/>
      <c r="G29" s="39">
        <f t="shared" si="0"/>
        <v>1</v>
      </c>
      <c r="H29" s="54"/>
      <c r="I29" s="54"/>
      <c r="J29" s="174"/>
      <c r="K29" s="54"/>
      <c r="L29" s="54"/>
      <c r="M29" s="54"/>
      <c r="N29" s="54"/>
      <c r="O29" s="54"/>
    </row>
    <row r="30" spans="1:36" hidden="1" x14ac:dyDescent="0.2">
      <c r="A30" s="153" t="s">
        <v>73</v>
      </c>
      <c r="B30" s="75">
        <v>45271</v>
      </c>
      <c r="C30" s="76" t="s">
        <v>54</v>
      </c>
      <c r="D30" s="75">
        <v>45972</v>
      </c>
      <c r="E30" s="77">
        <v>45644</v>
      </c>
      <c r="F30" s="77">
        <v>45658</v>
      </c>
      <c r="G30" s="76">
        <f t="shared" si="0"/>
        <v>15</v>
      </c>
      <c r="H30" s="77">
        <v>45748</v>
      </c>
      <c r="I30" s="77">
        <v>45762</v>
      </c>
      <c r="J30" s="76">
        <f t="shared" si="1"/>
        <v>15</v>
      </c>
      <c r="K30" s="80"/>
      <c r="L30" s="80"/>
      <c r="M30" s="80"/>
      <c r="N30" s="80"/>
      <c r="O30" s="53" t="s">
        <v>114</v>
      </c>
    </row>
    <row r="31" spans="1:36" x14ac:dyDescent="0.2">
      <c r="A31" s="52" t="s">
        <v>73</v>
      </c>
      <c r="B31" s="6">
        <v>45271</v>
      </c>
      <c r="C31" s="7" t="s">
        <v>62</v>
      </c>
      <c r="D31" s="6">
        <v>46337</v>
      </c>
      <c r="E31" s="8">
        <v>46050</v>
      </c>
      <c r="F31" s="8">
        <v>46064</v>
      </c>
      <c r="G31" s="7">
        <f t="shared" si="0"/>
        <v>15</v>
      </c>
      <c r="H31" s="51">
        <v>46204</v>
      </c>
      <c r="I31" s="51">
        <v>46218</v>
      </c>
      <c r="J31" s="39">
        <f t="shared" si="1"/>
        <v>15</v>
      </c>
      <c r="K31" s="125"/>
      <c r="L31" s="125"/>
      <c r="M31" s="125"/>
      <c r="N31" s="125"/>
      <c r="O31" s="125"/>
    </row>
    <row r="32" spans="1:36" hidden="1" x14ac:dyDescent="0.2">
      <c r="A32" s="125" t="s">
        <v>80</v>
      </c>
      <c r="B32" s="6">
        <v>45383</v>
      </c>
      <c r="C32" s="7" t="s">
        <v>62</v>
      </c>
      <c r="D32" s="6">
        <v>46082</v>
      </c>
      <c r="E32" s="8">
        <v>45992</v>
      </c>
      <c r="F32" s="8">
        <v>46021</v>
      </c>
      <c r="G32" s="7">
        <f t="shared" si="0"/>
        <v>30</v>
      </c>
      <c r="H32" s="125"/>
      <c r="I32" s="125"/>
      <c r="J32" s="125"/>
      <c r="K32" s="125"/>
      <c r="L32" s="125"/>
      <c r="M32" s="125"/>
      <c r="N32" s="125"/>
      <c r="O32" s="125"/>
    </row>
    <row r="33" spans="1:18" hidden="1" x14ac:dyDescent="0.2">
      <c r="A33" s="125" t="s">
        <v>92</v>
      </c>
      <c r="B33" s="6">
        <v>45509</v>
      </c>
      <c r="C33" s="7" t="s">
        <v>62</v>
      </c>
      <c r="D33" s="6">
        <v>46208</v>
      </c>
      <c r="E33" s="51">
        <v>45992</v>
      </c>
      <c r="F33" s="51">
        <v>46021</v>
      </c>
      <c r="G33" s="39">
        <f t="shared" si="0"/>
        <v>30</v>
      </c>
      <c r="H33" s="125"/>
      <c r="I33" s="125"/>
      <c r="J33" s="125"/>
      <c r="K33" s="125"/>
      <c r="L33" s="125"/>
      <c r="M33" s="125"/>
      <c r="N33" s="125"/>
      <c r="O33" s="125"/>
    </row>
    <row r="34" spans="1:18" x14ac:dyDescent="0.2">
      <c r="A34" s="176" t="s">
        <v>80</v>
      </c>
      <c r="B34" s="173">
        <v>45444</v>
      </c>
      <c r="C34" s="181" t="s">
        <v>116</v>
      </c>
      <c r="D34" s="173">
        <v>46447</v>
      </c>
      <c r="E34" s="51">
        <v>46357</v>
      </c>
      <c r="F34" s="51">
        <v>46386</v>
      </c>
      <c r="G34" s="39">
        <f t="shared" si="0"/>
        <v>30</v>
      </c>
      <c r="H34" s="54"/>
      <c r="I34" s="54"/>
      <c r="J34" s="54"/>
      <c r="K34" s="54"/>
      <c r="L34" s="54"/>
      <c r="M34" s="54"/>
      <c r="N34" s="54"/>
      <c r="O34" s="54"/>
    </row>
    <row r="35" spans="1:18" x14ac:dyDescent="0.2">
      <c r="A35" s="176" t="s">
        <v>128</v>
      </c>
      <c r="B35" s="173">
        <v>45873</v>
      </c>
      <c r="C35" s="181" t="s">
        <v>116</v>
      </c>
      <c r="D35" s="173">
        <v>46572</v>
      </c>
      <c r="E35" s="52"/>
      <c r="F35" s="52"/>
      <c r="G35" s="39">
        <f t="shared" si="0"/>
        <v>1</v>
      </c>
      <c r="H35" s="54"/>
      <c r="I35" s="54"/>
      <c r="J35" s="54"/>
      <c r="K35" s="54"/>
      <c r="L35" s="54"/>
      <c r="M35" s="54"/>
      <c r="N35" s="54"/>
      <c r="O35" s="54"/>
    </row>
    <row r="36" spans="1:18" hidden="1" x14ac:dyDescent="0.2">
      <c r="A36" s="176" t="s">
        <v>129</v>
      </c>
      <c r="B36" s="173">
        <v>45880</v>
      </c>
      <c r="C36" s="181" t="s">
        <v>116</v>
      </c>
      <c r="D36" s="173">
        <v>46579</v>
      </c>
      <c r="E36" s="52"/>
      <c r="F36" s="52"/>
      <c r="G36" s="39">
        <f t="shared" si="0"/>
        <v>1</v>
      </c>
      <c r="H36" s="54"/>
      <c r="I36" s="54"/>
      <c r="J36" s="54"/>
      <c r="K36" s="54"/>
      <c r="L36" s="54"/>
      <c r="M36" s="54"/>
      <c r="N36" s="54"/>
      <c r="O36" s="54"/>
    </row>
    <row r="37" spans="1:18" x14ac:dyDescent="0.2">
      <c r="A37" s="205" t="s">
        <v>72</v>
      </c>
      <c r="B37" s="207">
        <v>46023</v>
      </c>
      <c r="C37" s="206" t="s">
        <v>140</v>
      </c>
      <c r="D37" s="207">
        <v>46722</v>
      </c>
      <c r="E37" s="208"/>
      <c r="F37" s="208"/>
      <c r="G37" s="206">
        <f t="shared" si="0"/>
        <v>1</v>
      </c>
      <c r="H37" s="208"/>
      <c r="I37" s="208"/>
      <c r="J37" s="208"/>
      <c r="K37" s="208"/>
      <c r="L37" s="208"/>
      <c r="M37" s="208"/>
      <c r="N37" s="208"/>
      <c r="O37" s="208"/>
    </row>
    <row r="38" spans="1:18" ht="19" x14ac:dyDescent="0.25">
      <c r="A38" s="139" t="s">
        <v>10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1"/>
    </row>
    <row r="39" spans="1:18" x14ac:dyDescent="0.2">
      <c r="A39" s="148" t="s">
        <v>23</v>
      </c>
      <c r="B39" s="148" t="s">
        <v>17</v>
      </c>
      <c r="C39" s="148" t="s">
        <v>18</v>
      </c>
      <c r="D39" s="148" t="s">
        <v>22</v>
      </c>
      <c r="E39" s="150" t="s">
        <v>19</v>
      </c>
      <c r="F39" s="151"/>
      <c r="G39" s="152"/>
      <c r="H39" s="150" t="s">
        <v>21</v>
      </c>
      <c r="I39" s="151"/>
      <c r="J39" s="152"/>
      <c r="K39" s="3"/>
      <c r="L39" s="3"/>
      <c r="M39" s="3"/>
      <c r="N39" s="148" t="s">
        <v>16</v>
      </c>
      <c r="O39" s="148" t="s">
        <v>15</v>
      </c>
    </row>
    <row r="40" spans="1:18" x14ac:dyDescent="0.2">
      <c r="A40" s="149"/>
      <c r="B40" s="149"/>
      <c r="C40" s="149"/>
      <c r="D40" s="149"/>
      <c r="E40" s="3" t="s">
        <v>7</v>
      </c>
      <c r="F40" s="3" t="s">
        <v>8</v>
      </c>
      <c r="G40" s="3" t="s">
        <v>20</v>
      </c>
      <c r="H40" s="3" t="s">
        <v>7</v>
      </c>
      <c r="I40" s="3" t="s">
        <v>8</v>
      </c>
      <c r="J40" s="3" t="s">
        <v>20</v>
      </c>
      <c r="K40" s="3"/>
      <c r="L40" s="3"/>
      <c r="M40" s="3"/>
      <c r="N40" s="149"/>
      <c r="O40" s="149"/>
    </row>
    <row r="41" spans="1:18" hidden="1" x14ac:dyDescent="0.2">
      <c r="A41" s="155" t="s">
        <v>34</v>
      </c>
      <c r="B41" s="60">
        <v>44105</v>
      </c>
      <c r="C41" s="41" t="s">
        <v>35</v>
      </c>
      <c r="D41" s="61">
        <v>45169</v>
      </c>
      <c r="E41" s="61">
        <v>44921</v>
      </c>
      <c r="F41" s="61">
        <v>44935</v>
      </c>
      <c r="G41" s="50">
        <f t="shared" ref="G41:G45" si="3">(F41-E41)+1</f>
        <v>15</v>
      </c>
      <c r="H41" s="61">
        <v>45110</v>
      </c>
      <c r="I41" s="61">
        <v>45124</v>
      </c>
      <c r="J41" s="50">
        <f t="shared" ref="J41:J44" si="4">(I41-H41)+1</f>
        <v>15</v>
      </c>
      <c r="K41" s="50"/>
      <c r="L41" s="50"/>
      <c r="M41" s="50"/>
      <c r="N41" s="72"/>
      <c r="O41" s="72"/>
    </row>
    <row r="42" spans="1:18" hidden="1" x14ac:dyDescent="0.2">
      <c r="A42" s="154" t="s">
        <v>34</v>
      </c>
      <c r="B42" s="66">
        <v>44105</v>
      </c>
      <c r="C42" s="67" t="s">
        <v>41</v>
      </c>
      <c r="D42" s="88">
        <v>45535</v>
      </c>
      <c r="E42" s="88">
        <v>45299</v>
      </c>
      <c r="F42" s="88">
        <v>45313</v>
      </c>
      <c r="G42" s="67">
        <f t="shared" si="3"/>
        <v>15</v>
      </c>
      <c r="H42" s="88">
        <v>45488</v>
      </c>
      <c r="I42" s="88">
        <v>45502</v>
      </c>
      <c r="J42" s="67">
        <f t="shared" si="4"/>
        <v>15</v>
      </c>
      <c r="K42" s="67"/>
      <c r="L42" s="67"/>
      <c r="M42" s="67"/>
      <c r="N42" s="93"/>
      <c r="O42" s="93"/>
    </row>
    <row r="43" spans="1:18" hidden="1" x14ac:dyDescent="0.2">
      <c r="A43" s="153" t="s">
        <v>34</v>
      </c>
      <c r="B43" s="75">
        <v>44105</v>
      </c>
      <c r="C43" s="76" t="s">
        <v>54</v>
      </c>
      <c r="D43" s="77">
        <v>45900</v>
      </c>
      <c r="E43" s="77">
        <v>45663</v>
      </c>
      <c r="F43" s="77">
        <v>45677</v>
      </c>
      <c r="G43" s="76">
        <f t="shared" si="3"/>
        <v>15</v>
      </c>
      <c r="H43" s="77">
        <v>45852</v>
      </c>
      <c r="I43" s="77">
        <v>45866</v>
      </c>
      <c r="J43" s="76">
        <f t="shared" si="4"/>
        <v>15</v>
      </c>
      <c r="K43" s="76"/>
      <c r="L43" s="76"/>
      <c r="M43" s="76"/>
      <c r="N43" s="107"/>
      <c r="O43" s="107" t="s">
        <v>101</v>
      </c>
    </row>
    <row r="44" spans="1:18" hidden="1" x14ac:dyDescent="0.2">
      <c r="A44" s="125" t="s">
        <v>34</v>
      </c>
      <c r="B44" s="6">
        <v>44105</v>
      </c>
      <c r="C44" s="7" t="s">
        <v>62</v>
      </c>
      <c r="D44" s="6">
        <v>46265</v>
      </c>
      <c r="E44" s="51">
        <v>46034</v>
      </c>
      <c r="F44" s="51">
        <v>46048</v>
      </c>
      <c r="G44" s="39">
        <f t="shared" si="3"/>
        <v>15</v>
      </c>
      <c r="H44" s="125"/>
      <c r="I44" s="125"/>
      <c r="J44" s="7">
        <f t="shared" si="4"/>
        <v>1</v>
      </c>
      <c r="K44" s="125"/>
      <c r="L44" s="125"/>
      <c r="M44" s="125"/>
      <c r="N44" s="125"/>
      <c r="O44" s="125"/>
    </row>
    <row r="45" spans="1:18" hidden="1" x14ac:dyDescent="0.2">
      <c r="A45" s="155" t="s">
        <v>14</v>
      </c>
      <c r="B45" s="64">
        <v>44105</v>
      </c>
      <c r="C45" s="50" t="s">
        <v>35</v>
      </c>
      <c r="D45" s="61">
        <v>45169</v>
      </c>
      <c r="E45" s="61">
        <v>45007</v>
      </c>
      <c r="F45" s="61">
        <v>45021</v>
      </c>
      <c r="G45" s="50">
        <f t="shared" si="3"/>
        <v>15</v>
      </c>
      <c r="H45" s="113">
        <v>45124</v>
      </c>
      <c r="I45" s="113">
        <v>45138</v>
      </c>
      <c r="J45" s="50">
        <f>(I45-H45)+1</f>
        <v>15</v>
      </c>
      <c r="K45" s="72"/>
      <c r="L45" s="72"/>
      <c r="M45" s="72"/>
      <c r="N45" s="72"/>
      <c r="O45" s="72"/>
      <c r="P45" s="65">
        <v>44979</v>
      </c>
      <c r="Q45" s="65">
        <v>44993</v>
      </c>
      <c r="R45" s="73">
        <f t="shared" ref="R45:R49" si="5">(Q45-P45)+1</f>
        <v>15</v>
      </c>
    </row>
    <row r="46" spans="1:18" hidden="1" x14ac:dyDescent="0.2">
      <c r="A46" s="154" t="s">
        <v>14</v>
      </c>
      <c r="B46" s="70">
        <v>44105</v>
      </c>
      <c r="C46" s="67" t="s">
        <v>41</v>
      </c>
      <c r="D46" s="88">
        <v>45535</v>
      </c>
      <c r="E46" s="88">
        <v>45355</v>
      </c>
      <c r="F46" s="88">
        <v>45369</v>
      </c>
      <c r="G46" s="67">
        <f>(F46-E46)+1</f>
        <v>15</v>
      </c>
      <c r="H46" s="135">
        <v>45481</v>
      </c>
      <c r="I46" s="135">
        <v>45495</v>
      </c>
      <c r="J46" s="67">
        <f>(I46-H46)+1</f>
        <v>15</v>
      </c>
      <c r="K46" s="88"/>
      <c r="L46" s="88"/>
      <c r="M46" s="67"/>
      <c r="N46" s="93"/>
      <c r="O46" s="52" t="s">
        <v>69</v>
      </c>
      <c r="P46" s="65"/>
      <c r="Q46" s="65"/>
      <c r="R46" s="73"/>
    </row>
    <row r="47" spans="1:18" s="4" customFormat="1" hidden="1" x14ac:dyDescent="0.2">
      <c r="A47" s="153" t="s">
        <v>14</v>
      </c>
      <c r="B47" s="103">
        <v>44105</v>
      </c>
      <c r="C47" s="76" t="s">
        <v>54</v>
      </c>
      <c r="D47" s="77">
        <v>45900</v>
      </c>
      <c r="E47" s="82">
        <v>45707</v>
      </c>
      <c r="F47" s="77">
        <v>45716</v>
      </c>
      <c r="G47" s="76">
        <f t="shared" ref="G47:G89" si="6">(F47-E47)+1</f>
        <v>10</v>
      </c>
      <c r="H47" s="77">
        <v>45847</v>
      </c>
      <c r="I47" s="77">
        <v>45866</v>
      </c>
      <c r="J47" s="76">
        <f t="shared" ref="J47:J53" si="7">(I47-H47)+1</f>
        <v>20</v>
      </c>
      <c r="K47" s="94"/>
      <c r="L47" s="94"/>
      <c r="M47" s="94"/>
      <c r="N47" s="94"/>
      <c r="O47" s="114"/>
    </row>
    <row r="48" spans="1:18" x14ac:dyDescent="0.2">
      <c r="A48" s="52" t="s">
        <v>14</v>
      </c>
      <c r="B48" s="6">
        <v>44105</v>
      </c>
      <c r="C48" s="7" t="s">
        <v>62</v>
      </c>
      <c r="D48" s="8">
        <v>46265</v>
      </c>
      <c r="E48" s="8">
        <v>46083</v>
      </c>
      <c r="F48" s="8">
        <v>46092</v>
      </c>
      <c r="G48" s="7">
        <f t="shared" si="6"/>
        <v>10</v>
      </c>
      <c r="H48" s="51">
        <v>46204</v>
      </c>
      <c r="I48" s="51">
        <v>46223</v>
      </c>
      <c r="J48" s="39">
        <f t="shared" si="7"/>
        <v>20</v>
      </c>
      <c r="K48" s="125"/>
      <c r="L48" s="125"/>
      <c r="M48" s="125"/>
      <c r="N48" s="125"/>
      <c r="O48" s="125" t="s">
        <v>139</v>
      </c>
    </row>
    <row r="49" spans="1:36" hidden="1" x14ac:dyDescent="0.2">
      <c r="A49" s="155" t="s">
        <v>24</v>
      </c>
      <c r="B49" s="64">
        <v>44105</v>
      </c>
      <c r="C49" s="50" t="s">
        <v>35</v>
      </c>
      <c r="D49" s="61">
        <v>45169</v>
      </c>
      <c r="E49" s="40">
        <v>44921</v>
      </c>
      <c r="F49" s="40">
        <v>44950</v>
      </c>
      <c r="G49" s="41">
        <f t="shared" si="6"/>
        <v>30</v>
      </c>
      <c r="H49" s="42"/>
      <c r="I49" s="42"/>
      <c r="J49" s="41">
        <f t="shared" si="7"/>
        <v>1</v>
      </c>
      <c r="K49" s="47"/>
      <c r="L49" s="47"/>
      <c r="M49" s="47"/>
      <c r="N49" s="47"/>
      <c r="O49" s="46"/>
      <c r="P49" s="65">
        <v>45026</v>
      </c>
      <c r="Q49" s="65">
        <v>45030</v>
      </c>
      <c r="R49" s="73">
        <f t="shared" si="5"/>
        <v>5</v>
      </c>
    </row>
    <row r="50" spans="1:36" hidden="1" x14ac:dyDescent="0.2">
      <c r="A50" s="154" t="s">
        <v>24</v>
      </c>
      <c r="B50" s="70">
        <v>44105</v>
      </c>
      <c r="C50" s="67" t="s">
        <v>41</v>
      </c>
      <c r="D50" s="88">
        <v>45535</v>
      </c>
      <c r="E50" s="88">
        <v>45306</v>
      </c>
      <c r="F50" s="88">
        <v>45320</v>
      </c>
      <c r="G50" s="67">
        <f t="shared" si="6"/>
        <v>15</v>
      </c>
      <c r="H50" s="88">
        <v>45474</v>
      </c>
      <c r="I50" s="88">
        <v>45488</v>
      </c>
      <c r="J50" s="67">
        <f t="shared" si="7"/>
        <v>15</v>
      </c>
      <c r="K50" s="47"/>
      <c r="L50" s="47"/>
      <c r="M50" s="47"/>
      <c r="N50" s="96"/>
      <c r="O50" s="134" t="s">
        <v>83</v>
      </c>
      <c r="P50" s="65"/>
      <c r="Q50" s="97"/>
      <c r="R50" s="98"/>
    </row>
    <row r="51" spans="1:36" hidden="1" x14ac:dyDescent="0.2">
      <c r="A51" s="153" t="s">
        <v>24</v>
      </c>
      <c r="B51" s="103">
        <v>44105</v>
      </c>
      <c r="C51" s="76" t="s">
        <v>54</v>
      </c>
      <c r="D51" s="77">
        <v>45900</v>
      </c>
      <c r="E51" s="77">
        <v>45642</v>
      </c>
      <c r="F51" s="77">
        <v>45656</v>
      </c>
      <c r="G51" s="76">
        <f t="shared" si="6"/>
        <v>15</v>
      </c>
      <c r="H51" s="77">
        <v>45852</v>
      </c>
      <c r="I51" s="77">
        <v>45866</v>
      </c>
      <c r="J51" s="76">
        <f t="shared" si="7"/>
        <v>15</v>
      </c>
      <c r="K51" s="80"/>
      <c r="L51" s="80"/>
      <c r="M51" s="80"/>
      <c r="N51" s="145"/>
      <c r="O51" s="146"/>
      <c r="P51" s="97"/>
      <c r="Q51" s="97"/>
      <c r="R51" s="98"/>
    </row>
    <row r="52" spans="1:36" hidden="1" x14ac:dyDescent="0.2">
      <c r="A52" s="125" t="s">
        <v>24</v>
      </c>
      <c r="B52" s="6">
        <v>44105</v>
      </c>
      <c r="C52" s="7" t="s">
        <v>62</v>
      </c>
      <c r="D52" s="6">
        <v>46265</v>
      </c>
      <c r="E52" s="167"/>
      <c r="F52" s="167"/>
      <c r="G52" s="7">
        <f t="shared" si="6"/>
        <v>1</v>
      </c>
      <c r="H52" s="125"/>
      <c r="I52" s="125"/>
      <c r="J52" s="7">
        <f t="shared" si="7"/>
        <v>1</v>
      </c>
      <c r="K52" s="125"/>
      <c r="L52" s="125"/>
      <c r="M52" s="125"/>
      <c r="N52" s="125"/>
      <c r="O52" s="125"/>
    </row>
    <row r="53" spans="1:36" s="12" customFormat="1" hidden="1" x14ac:dyDescent="0.2">
      <c r="A53" s="154" t="s">
        <v>1</v>
      </c>
      <c r="B53" s="70">
        <v>44228</v>
      </c>
      <c r="C53" s="67" t="s">
        <v>41</v>
      </c>
      <c r="D53" s="90">
        <v>45292</v>
      </c>
      <c r="E53" s="68">
        <v>44928</v>
      </c>
      <c r="F53" s="68">
        <v>44957</v>
      </c>
      <c r="G53" s="69">
        <f t="shared" si="6"/>
        <v>30</v>
      </c>
      <c r="H53" s="68">
        <v>44958</v>
      </c>
      <c r="I53" s="68">
        <v>44987</v>
      </c>
      <c r="J53" s="67">
        <f t="shared" si="7"/>
        <v>30</v>
      </c>
      <c r="K53" s="69"/>
      <c r="L53" s="69"/>
      <c r="M53" s="69"/>
      <c r="N53" s="69"/>
      <c r="O53" s="74" t="s">
        <v>49</v>
      </c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</row>
    <row r="54" spans="1:36" s="12" customFormat="1" hidden="1" x14ac:dyDescent="0.2">
      <c r="A54" s="153" t="s">
        <v>1</v>
      </c>
      <c r="B54" s="103">
        <v>44228</v>
      </c>
      <c r="C54" s="76" t="s">
        <v>54</v>
      </c>
      <c r="D54" s="104">
        <v>45658</v>
      </c>
      <c r="E54" s="77">
        <v>45327</v>
      </c>
      <c r="F54" s="77">
        <v>45356</v>
      </c>
      <c r="G54" s="76">
        <f t="shared" si="6"/>
        <v>30</v>
      </c>
      <c r="H54" s="78"/>
      <c r="I54" s="78"/>
      <c r="J54" s="76"/>
      <c r="K54" s="80"/>
      <c r="L54" s="80"/>
      <c r="M54" s="80"/>
      <c r="N54" s="80"/>
      <c r="O54" s="105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</row>
    <row r="55" spans="1:36" s="12" customFormat="1" hidden="1" x14ac:dyDescent="0.2">
      <c r="A55" s="172" t="s">
        <v>1</v>
      </c>
      <c r="B55" s="18">
        <v>44228</v>
      </c>
      <c r="C55" s="7" t="s">
        <v>62</v>
      </c>
      <c r="D55" s="137">
        <v>46023</v>
      </c>
      <c r="E55" s="8">
        <v>45691</v>
      </c>
      <c r="F55" s="8">
        <v>45720</v>
      </c>
      <c r="G55" s="7">
        <f t="shared" si="6"/>
        <v>30</v>
      </c>
      <c r="H55" s="20"/>
      <c r="I55" s="20"/>
      <c r="J55" s="7"/>
      <c r="K55" s="19"/>
      <c r="L55" s="19"/>
      <c r="M55" s="19"/>
      <c r="N55" s="19"/>
      <c r="O55" s="52" t="s">
        <v>110</v>
      </c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</row>
    <row r="56" spans="1:36" hidden="1" x14ac:dyDescent="0.2">
      <c r="A56" s="155" t="s">
        <v>42</v>
      </c>
      <c r="B56" s="64">
        <v>44301</v>
      </c>
      <c r="C56" s="50" t="s">
        <v>35</v>
      </c>
      <c r="D56" s="71">
        <v>45000</v>
      </c>
      <c r="E56" s="61">
        <v>44746</v>
      </c>
      <c r="F56" s="61">
        <v>44760</v>
      </c>
      <c r="G56" s="59">
        <f t="shared" si="6"/>
        <v>15</v>
      </c>
      <c r="H56" s="61">
        <v>44928</v>
      </c>
      <c r="I56" s="61">
        <v>44942</v>
      </c>
      <c r="J56" s="50">
        <f t="shared" ref="J56:J89" si="8">(I56-H56)+1</f>
        <v>15</v>
      </c>
      <c r="K56" s="47"/>
      <c r="L56" s="47"/>
      <c r="M56" s="47"/>
      <c r="N56" s="47"/>
      <c r="O56" s="46"/>
      <c r="P56" s="31"/>
      <c r="Q56" s="31"/>
      <c r="R56" s="31"/>
    </row>
    <row r="57" spans="1:36" hidden="1" x14ac:dyDescent="0.2">
      <c r="A57" s="154" t="s">
        <v>42</v>
      </c>
      <c r="B57" s="70">
        <v>44301</v>
      </c>
      <c r="C57" s="67" t="s">
        <v>41</v>
      </c>
      <c r="D57" s="95">
        <v>45366</v>
      </c>
      <c r="E57" s="88">
        <v>45117</v>
      </c>
      <c r="F57" s="88">
        <v>45131</v>
      </c>
      <c r="G57" s="69">
        <f t="shared" si="6"/>
        <v>15</v>
      </c>
      <c r="H57" s="88">
        <v>45293</v>
      </c>
      <c r="I57" s="88">
        <v>45307</v>
      </c>
      <c r="J57" s="67">
        <f t="shared" si="8"/>
        <v>15</v>
      </c>
      <c r="K57" s="67"/>
      <c r="L57" s="67"/>
      <c r="M57" s="69"/>
      <c r="N57" s="69"/>
      <c r="O57" s="70"/>
      <c r="P57" s="31"/>
      <c r="Q57" s="31"/>
      <c r="R57" s="31"/>
    </row>
    <row r="58" spans="1:36" x14ac:dyDescent="0.2">
      <c r="A58" s="176" t="s">
        <v>14</v>
      </c>
      <c r="B58" s="178">
        <v>44105</v>
      </c>
      <c r="C58" s="181" t="s">
        <v>116</v>
      </c>
      <c r="D58" s="175">
        <v>46630</v>
      </c>
      <c r="E58" s="179"/>
      <c r="F58" s="179"/>
      <c r="G58" s="181">
        <f t="shared" si="6"/>
        <v>1</v>
      </c>
      <c r="H58" s="179"/>
      <c r="I58" s="179"/>
      <c r="J58" s="174"/>
      <c r="K58" s="174"/>
      <c r="L58" s="174"/>
      <c r="M58" s="56"/>
      <c r="N58" s="56"/>
      <c r="O58" s="180"/>
      <c r="P58" s="31"/>
      <c r="Q58" s="31"/>
      <c r="R58" s="31"/>
    </row>
    <row r="59" spans="1:36" hidden="1" x14ac:dyDescent="0.2">
      <c r="A59" s="153" t="s">
        <v>42</v>
      </c>
      <c r="B59" s="103">
        <v>44301</v>
      </c>
      <c r="C59" s="76" t="s">
        <v>54</v>
      </c>
      <c r="D59" s="82">
        <v>45731</v>
      </c>
      <c r="E59" s="77">
        <v>45481</v>
      </c>
      <c r="F59" s="77">
        <v>45495</v>
      </c>
      <c r="G59" s="76">
        <f t="shared" si="6"/>
        <v>15</v>
      </c>
      <c r="H59" s="77">
        <v>45663</v>
      </c>
      <c r="I59" s="77">
        <v>45677</v>
      </c>
      <c r="J59" s="76">
        <f t="shared" si="8"/>
        <v>15</v>
      </c>
      <c r="K59" s="76"/>
      <c r="L59" s="76"/>
      <c r="M59" s="80"/>
      <c r="N59" s="80"/>
      <c r="O59" s="103"/>
      <c r="P59" s="31"/>
      <c r="Q59" s="31"/>
      <c r="R59" s="31"/>
    </row>
    <row r="60" spans="1:36" s="170" customFormat="1" hidden="1" x14ac:dyDescent="0.2">
      <c r="A60" s="168" t="s">
        <v>42</v>
      </c>
      <c r="B60" s="18">
        <v>44301</v>
      </c>
      <c r="C60" s="7" t="s">
        <v>62</v>
      </c>
      <c r="D60" s="169">
        <v>46096</v>
      </c>
      <c r="E60" s="8">
        <v>45817</v>
      </c>
      <c r="F60" s="8">
        <v>45846</v>
      </c>
      <c r="G60" s="7">
        <f t="shared" si="6"/>
        <v>30</v>
      </c>
      <c r="H60" s="8"/>
      <c r="I60" s="8"/>
      <c r="J60" s="7">
        <f t="shared" si="8"/>
        <v>1</v>
      </c>
      <c r="K60" s="19"/>
      <c r="L60" s="19"/>
      <c r="M60" s="19"/>
      <c r="N60" s="19"/>
      <c r="O60" s="18"/>
      <c r="P60" s="31"/>
      <c r="Q60" s="31"/>
      <c r="R60" s="31"/>
      <c r="S60"/>
      <c r="T60"/>
    </row>
    <row r="61" spans="1:36" hidden="1" x14ac:dyDescent="0.2">
      <c r="A61" s="155" t="s">
        <v>43</v>
      </c>
      <c r="B61" s="64">
        <v>44301</v>
      </c>
      <c r="C61" s="50" t="s">
        <v>35</v>
      </c>
      <c r="D61" s="71">
        <v>45000</v>
      </c>
      <c r="E61" s="61">
        <v>44760</v>
      </c>
      <c r="F61" s="61">
        <v>44774</v>
      </c>
      <c r="G61" s="59">
        <f t="shared" si="6"/>
        <v>15</v>
      </c>
      <c r="H61" s="61">
        <v>44921</v>
      </c>
      <c r="I61" s="61">
        <v>44935</v>
      </c>
      <c r="J61" s="50">
        <f t="shared" si="8"/>
        <v>15</v>
      </c>
      <c r="K61" s="47"/>
      <c r="L61" s="47"/>
      <c r="M61" s="47"/>
      <c r="N61" s="47"/>
      <c r="O61" s="46"/>
      <c r="P61" s="31"/>
      <c r="Q61" s="31"/>
      <c r="R61" s="31"/>
    </row>
    <row r="62" spans="1:36" hidden="1" x14ac:dyDescent="0.2">
      <c r="A62" s="154" t="s">
        <v>43</v>
      </c>
      <c r="B62" s="70">
        <v>44301</v>
      </c>
      <c r="C62" s="67" t="s">
        <v>41</v>
      </c>
      <c r="D62" s="95">
        <v>45366</v>
      </c>
      <c r="E62" s="88">
        <v>45124</v>
      </c>
      <c r="F62" s="88">
        <v>45138</v>
      </c>
      <c r="G62" s="69">
        <f t="shared" si="6"/>
        <v>15</v>
      </c>
      <c r="H62" s="88">
        <v>45278</v>
      </c>
      <c r="I62" s="88">
        <v>45292</v>
      </c>
      <c r="J62" s="67">
        <f t="shared" si="8"/>
        <v>15</v>
      </c>
      <c r="K62" s="69"/>
      <c r="L62" s="69"/>
      <c r="M62" s="69"/>
      <c r="N62" s="69"/>
      <c r="O62" s="116"/>
      <c r="P62" s="31"/>
      <c r="Q62" s="31"/>
      <c r="R62" s="31"/>
    </row>
    <row r="63" spans="1:36" x14ac:dyDescent="0.2">
      <c r="A63" s="176" t="s">
        <v>42</v>
      </c>
      <c r="B63" s="178">
        <v>44301</v>
      </c>
      <c r="C63" s="181" t="s">
        <v>116</v>
      </c>
      <c r="D63" s="175">
        <v>46461</v>
      </c>
      <c r="E63" s="51">
        <v>46146</v>
      </c>
      <c r="F63" s="51">
        <v>46175</v>
      </c>
      <c r="G63" s="39">
        <f t="shared" si="6"/>
        <v>30</v>
      </c>
      <c r="H63" s="179"/>
      <c r="I63" s="179"/>
      <c r="J63" s="174"/>
      <c r="K63" s="174"/>
      <c r="L63" s="174"/>
      <c r="M63" s="56"/>
      <c r="N63" s="56"/>
      <c r="O63" s="180"/>
      <c r="P63" s="31"/>
      <c r="Q63" s="31"/>
      <c r="R63" s="31"/>
    </row>
    <row r="64" spans="1:36" hidden="1" x14ac:dyDescent="0.2">
      <c r="A64" s="153" t="s">
        <v>43</v>
      </c>
      <c r="B64" s="103">
        <v>44301</v>
      </c>
      <c r="C64" s="76" t="s">
        <v>54</v>
      </c>
      <c r="D64" s="82">
        <v>45731</v>
      </c>
      <c r="E64" s="77">
        <v>45509</v>
      </c>
      <c r="F64" s="77">
        <v>45523</v>
      </c>
      <c r="G64" s="76">
        <f t="shared" si="6"/>
        <v>15</v>
      </c>
      <c r="H64" s="77">
        <v>45644</v>
      </c>
      <c r="I64" s="77">
        <v>45658</v>
      </c>
      <c r="J64" s="76">
        <f t="shared" si="8"/>
        <v>15</v>
      </c>
      <c r="K64" s="80"/>
      <c r="L64" s="80"/>
      <c r="M64" s="80"/>
      <c r="N64" s="80"/>
      <c r="O64" s="147" t="s">
        <v>82</v>
      </c>
      <c r="P64" s="31"/>
      <c r="Q64" s="31"/>
      <c r="R64" s="31"/>
    </row>
    <row r="65" spans="1:36" s="170" customFormat="1" hidden="1" x14ac:dyDescent="0.2">
      <c r="A65" s="168" t="s">
        <v>43</v>
      </c>
      <c r="B65" s="18">
        <v>44301</v>
      </c>
      <c r="C65" s="7" t="s">
        <v>62</v>
      </c>
      <c r="D65" s="169">
        <v>46096</v>
      </c>
      <c r="E65" s="8">
        <v>45817</v>
      </c>
      <c r="F65" s="8">
        <v>45846</v>
      </c>
      <c r="G65" s="7">
        <f t="shared" si="6"/>
        <v>30</v>
      </c>
      <c r="H65" s="8"/>
      <c r="I65" s="8"/>
      <c r="J65" s="7">
        <f t="shared" si="8"/>
        <v>1</v>
      </c>
      <c r="K65" s="19"/>
      <c r="L65" s="19"/>
      <c r="M65" s="19"/>
      <c r="N65" s="19"/>
      <c r="O65" s="18"/>
      <c r="P65" s="31"/>
      <c r="Q65" s="31"/>
      <c r="R65" s="31"/>
      <c r="S65"/>
      <c r="T65"/>
    </row>
    <row r="66" spans="1:36" s="12" customFormat="1" hidden="1" x14ac:dyDescent="0.2">
      <c r="A66" s="155" t="s">
        <v>46</v>
      </c>
      <c r="B66" s="64">
        <v>44301</v>
      </c>
      <c r="C66" s="50" t="s">
        <v>35</v>
      </c>
      <c r="D66" s="71">
        <v>45000</v>
      </c>
      <c r="E66" s="61">
        <v>44781</v>
      </c>
      <c r="F66" s="61">
        <v>44810</v>
      </c>
      <c r="G66" s="59">
        <f t="shared" si="6"/>
        <v>30</v>
      </c>
      <c r="H66" s="42"/>
      <c r="I66" s="42"/>
      <c r="J66" s="41"/>
      <c r="K66" s="69"/>
      <c r="L66" s="69"/>
      <c r="M66" s="69"/>
      <c r="N66" s="69"/>
      <c r="O66" s="85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</row>
    <row r="67" spans="1:36" s="12" customFormat="1" hidden="1" x14ac:dyDescent="0.2">
      <c r="A67" s="154" t="s">
        <v>46</v>
      </c>
      <c r="B67" s="70">
        <v>44301</v>
      </c>
      <c r="C67" s="67" t="s">
        <v>41</v>
      </c>
      <c r="D67" s="95">
        <v>45366</v>
      </c>
      <c r="E67" s="88">
        <v>45082</v>
      </c>
      <c r="F67" s="88">
        <v>45111</v>
      </c>
      <c r="G67" s="69">
        <f t="shared" si="6"/>
        <v>30</v>
      </c>
      <c r="H67" s="68"/>
      <c r="I67" s="68"/>
      <c r="J67" s="67"/>
      <c r="K67" s="69"/>
      <c r="L67" s="69"/>
      <c r="M67" s="69"/>
      <c r="N67" s="69"/>
      <c r="O67" s="85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</row>
    <row r="68" spans="1:36" s="12" customFormat="1" hidden="1" x14ac:dyDescent="0.2">
      <c r="A68" s="153" t="s">
        <v>46</v>
      </c>
      <c r="B68" s="103">
        <v>44301</v>
      </c>
      <c r="C68" s="76" t="s">
        <v>54</v>
      </c>
      <c r="D68" s="82">
        <v>45731</v>
      </c>
      <c r="E68" s="77">
        <v>45446</v>
      </c>
      <c r="F68" s="77">
        <v>45475</v>
      </c>
      <c r="G68" s="76">
        <f t="shared" si="6"/>
        <v>30</v>
      </c>
      <c r="H68" s="77"/>
      <c r="I68" s="78"/>
      <c r="J68" s="76"/>
      <c r="K68" s="80"/>
      <c r="L68" s="80"/>
      <c r="M68" s="80"/>
      <c r="N68" s="80"/>
      <c r="O68" s="115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</row>
    <row r="69" spans="1:36" x14ac:dyDescent="0.2">
      <c r="A69" s="176" t="s">
        <v>43</v>
      </c>
      <c r="B69" s="178">
        <v>44301</v>
      </c>
      <c r="C69" s="181" t="s">
        <v>116</v>
      </c>
      <c r="D69" s="175">
        <v>46461</v>
      </c>
      <c r="E69" s="51">
        <v>46146</v>
      </c>
      <c r="F69" s="51">
        <v>46175</v>
      </c>
      <c r="G69" s="39">
        <f t="shared" ref="G69" si="9">(F69-E69)+1</f>
        <v>30</v>
      </c>
      <c r="H69" s="179"/>
      <c r="I69" s="179"/>
      <c r="J69" s="174"/>
      <c r="K69" s="174"/>
      <c r="L69" s="174"/>
      <c r="M69" s="56"/>
      <c r="N69" s="56"/>
      <c r="O69" s="180"/>
      <c r="P69" s="31"/>
      <c r="Q69" s="31"/>
      <c r="R69" s="31"/>
    </row>
    <row r="70" spans="1:36" s="21" customFormat="1" hidden="1" x14ac:dyDescent="0.2">
      <c r="A70" s="168" t="s">
        <v>46</v>
      </c>
      <c r="B70" s="18">
        <v>44301</v>
      </c>
      <c r="C70" s="7" t="s">
        <v>62</v>
      </c>
      <c r="D70" s="169">
        <v>46096</v>
      </c>
      <c r="E70" s="8">
        <v>45817</v>
      </c>
      <c r="F70" s="8">
        <v>45846</v>
      </c>
      <c r="G70" s="7">
        <f t="shared" si="6"/>
        <v>30</v>
      </c>
      <c r="H70" s="20"/>
      <c r="I70" s="20"/>
      <c r="J70" s="7">
        <f t="shared" ref="J70" si="10">(I70-H70)+1</f>
        <v>1</v>
      </c>
      <c r="K70" s="19"/>
      <c r="L70" s="19"/>
      <c r="M70" s="19"/>
      <c r="N70" s="19"/>
      <c r="O70" s="171"/>
      <c r="P70" s="37"/>
      <c r="Q70" s="37"/>
      <c r="R70" s="37"/>
      <c r="S70" s="37"/>
      <c r="T70" s="37"/>
    </row>
    <row r="71" spans="1:36" x14ac:dyDescent="0.2">
      <c r="A71" s="176" t="s">
        <v>46</v>
      </c>
      <c r="B71" s="178">
        <v>44301</v>
      </c>
      <c r="C71" s="181" t="s">
        <v>116</v>
      </c>
      <c r="D71" s="175">
        <v>46461</v>
      </c>
      <c r="E71" s="51">
        <v>46146</v>
      </c>
      <c r="F71" s="51">
        <v>46175</v>
      </c>
      <c r="G71" s="39">
        <f t="shared" ref="G71" si="11">(F71-E71)+1</f>
        <v>30</v>
      </c>
      <c r="H71" s="179"/>
      <c r="I71" s="179"/>
      <c r="J71" s="174"/>
      <c r="K71" s="174"/>
      <c r="L71" s="174"/>
      <c r="M71" s="56"/>
      <c r="N71" s="56"/>
      <c r="O71" s="180"/>
      <c r="P71" s="31"/>
      <c r="Q71" s="31"/>
      <c r="R71" s="31"/>
    </row>
    <row r="72" spans="1:36" s="12" customFormat="1" hidden="1" x14ac:dyDescent="0.2">
      <c r="A72" s="155" t="s">
        <v>47</v>
      </c>
      <c r="B72" s="64">
        <v>44306</v>
      </c>
      <c r="C72" s="50" t="s">
        <v>35</v>
      </c>
      <c r="D72" s="71">
        <v>45005</v>
      </c>
      <c r="E72" s="61">
        <v>44760</v>
      </c>
      <c r="F72" s="61">
        <v>44774</v>
      </c>
      <c r="G72" s="59">
        <f t="shared" si="6"/>
        <v>15</v>
      </c>
      <c r="H72" s="61">
        <v>44818</v>
      </c>
      <c r="I72" s="61">
        <v>44832</v>
      </c>
      <c r="J72" s="59">
        <f t="shared" si="8"/>
        <v>15</v>
      </c>
      <c r="K72" s="47"/>
      <c r="L72" s="47"/>
      <c r="M72" s="47"/>
      <c r="N72" s="47"/>
      <c r="O72" s="85" t="s">
        <v>51</v>
      </c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</row>
    <row r="73" spans="1:36" s="12" customFormat="1" hidden="1" x14ac:dyDescent="0.2">
      <c r="A73" s="154" t="s">
        <v>47</v>
      </c>
      <c r="B73" s="70">
        <v>44306</v>
      </c>
      <c r="C73" s="67" t="s">
        <v>41</v>
      </c>
      <c r="D73" s="95">
        <v>45371</v>
      </c>
      <c r="E73" s="88">
        <v>45117</v>
      </c>
      <c r="F73" s="88">
        <v>45131</v>
      </c>
      <c r="G73" s="69">
        <f t="shared" si="6"/>
        <v>15</v>
      </c>
      <c r="H73" s="88">
        <v>45293</v>
      </c>
      <c r="I73" s="88">
        <v>45307</v>
      </c>
      <c r="J73" s="67">
        <f t="shared" si="8"/>
        <v>15</v>
      </c>
      <c r="K73" s="69"/>
      <c r="L73" s="69"/>
      <c r="M73" s="69"/>
      <c r="N73" s="69"/>
      <c r="O73" s="85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</row>
    <row r="74" spans="1:36" s="12" customFormat="1" hidden="1" x14ac:dyDescent="0.2">
      <c r="A74" s="153" t="s">
        <v>47</v>
      </c>
      <c r="B74" s="103">
        <v>44306</v>
      </c>
      <c r="C74" s="76" t="s">
        <v>54</v>
      </c>
      <c r="D74" s="82">
        <v>45736</v>
      </c>
      <c r="E74" s="77">
        <v>45488</v>
      </c>
      <c r="F74" s="77">
        <v>45502</v>
      </c>
      <c r="G74" s="76">
        <f t="shared" si="6"/>
        <v>15</v>
      </c>
      <c r="H74" s="77">
        <v>45635</v>
      </c>
      <c r="I74" s="77">
        <v>45649</v>
      </c>
      <c r="J74" s="76">
        <f t="shared" si="8"/>
        <v>15</v>
      </c>
      <c r="K74" s="80"/>
      <c r="L74" s="80"/>
      <c r="M74" s="80"/>
      <c r="N74" s="80"/>
      <c r="O74" s="115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</row>
    <row r="75" spans="1:36" s="21" customFormat="1" hidden="1" x14ac:dyDescent="0.2">
      <c r="A75" s="168" t="s">
        <v>47</v>
      </c>
      <c r="B75" s="18">
        <v>44306</v>
      </c>
      <c r="C75" s="7" t="s">
        <v>62</v>
      </c>
      <c r="D75" s="169">
        <v>46101</v>
      </c>
      <c r="E75" s="8">
        <v>45817</v>
      </c>
      <c r="F75" s="8">
        <v>45846</v>
      </c>
      <c r="G75" s="7">
        <f t="shared" si="6"/>
        <v>30</v>
      </c>
      <c r="H75" s="8"/>
      <c r="I75" s="8"/>
      <c r="J75" s="19">
        <f t="shared" si="8"/>
        <v>1</v>
      </c>
      <c r="K75" s="19"/>
      <c r="L75" s="19"/>
      <c r="M75" s="19"/>
      <c r="N75" s="19"/>
      <c r="O75" s="171"/>
      <c r="P75" s="37"/>
      <c r="Q75" s="37"/>
      <c r="R75" s="37"/>
      <c r="S75" s="37"/>
      <c r="T75" s="37"/>
    </row>
    <row r="76" spans="1:36" s="12" customFormat="1" hidden="1" x14ac:dyDescent="0.2">
      <c r="A76" s="155" t="s">
        <v>44</v>
      </c>
      <c r="B76" s="64">
        <v>44355</v>
      </c>
      <c r="C76" s="50" t="s">
        <v>35</v>
      </c>
      <c r="D76" s="71">
        <v>45054</v>
      </c>
      <c r="E76" s="61">
        <v>44746</v>
      </c>
      <c r="F76" s="61">
        <v>44760</v>
      </c>
      <c r="G76" s="59">
        <f t="shared" si="6"/>
        <v>15</v>
      </c>
      <c r="H76" s="61">
        <v>44900</v>
      </c>
      <c r="I76" s="61">
        <v>44914</v>
      </c>
      <c r="J76" s="50">
        <f t="shared" si="8"/>
        <v>15</v>
      </c>
      <c r="K76" s="47"/>
      <c r="L76" s="47"/>
      <c r="M76" s="47"/>
      <c r="N76" s="47"/>
      <c r="O76" s="85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</row>
    <row r="77" spans="1:36" s="12" customFormat="1" hidden="1" x14ac:dyDescent="0.2">
      <c r="A77" s="154" t="s">
        <v>44</v>
      </c>
      <c r="B77" s="70">
        <v>44355</v>
      </c>
      <c r="C77" s="67" t="s">
        <v>41</v>
      </c>
      <c r="D77" s="95">
        <v>45420</v>
      </c>
      <c r="E77" s="88">
        <v>45110</v>
      </c>
      <c r="F77" s="88">
        <v>45124</v>
      </c>
      <c r="G77" s="67">
        <f t="shared" si="6"/>
        <v>15</v>
      </c>
      <c r="H77" s="118">
        <v>45264</v>
      </c>
      <c r="I77" s="88">
        <v>45278</v>
      </c>
      <c r="J77" s="67">
        <f t="shared" si="8"/>
        <v>15</v>
      </c>
      <c r="K77" s="67"/>
      <c r="L77" s="67"/>
      <c r="M77" s="67"/>
      <c r="N77" s="67"/>
      <c r="O77" s="11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</row>
    <row r="78" spans="1:36" x14ac:dyDescent="0.2">
      <c r="A78" s="176" t="s">
        <v>47</v>
      </c>
      <c r="B78" s="178">
        <v>44306</v>
      </c>
      <c r="C78" s="181" t="s">
        <v>116</v>
      </c>
      <c r="D78" s="175">
        <v>46466</v>
      </c>
      <c r="E78" s="51">
        <v>46146</v>
      </c>
      <c r="F78" s="51">
        <v>46175</v>
      </c>
      <c r="G78" s="39">
        <f t="shared" ref="G78" si="12">(F78-E78)+1</f>
        <v>30</v>
      </c>
      <c r="H78" s="179"/>
      <c r="I78" s="179"/>
      <c r="J78" s="174"/>
      <c r="K78" s="174"/>
      <c r="L78" s="174"/>
      <c r="M78" s="56"/>
      <c r="N78" s="56"/>
      <c r="O78" s="180"/>
      <c r="P78" s="31"/>
      <c r="Q78" s="31"/>
      <c r="R78" s="31"/>
    </row>
    <row r="79" spans="1:36" s="12" customFormat="1" hidden="1" x14ac:dyDescent="0.2">
      <c r="A79" s="153" t="s">
        <v>44</v>
      </c>
      <c r="B79" s="103">
        <v>44355</v>
      </c>
      <c r="C79" s="76" t="s">
        <v>54</v>
      </c>
      <c r="D79" s="82">
        <v>45785</v>
      </c>
      <c r="E79" s="77">
        <v>45474</v>
      </c>
      <c r="F79" s="77">
        <v>45488</v>
      </c>
      <c r="G79" s="76">
        <f t="shared" si="6"/>
        <v>15</v>
      </c>
      <c r="H79" s="108">
        <v>45549</v>
      </c>
      <c r="I79" s="77">
        <v>45563</v>
      </c>
      <c r="J79" s="76">
        <f t="shared" si="8"/>
        <v>15</v>
      </c>
      <c r="K79" s="76"/>
      <c r="L79" s="76"/>
      <c r="M79" s="76"/>
      <c r="N79" s="76"/>
      <c r="O79" s="147" t="s">
        <v>90</v>
      </c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</row>
    <row r="80" spans="1:36" s="21" customFormat="1" hidden="1" x14ac:dyDescent="0.2">
      <c r="A80" s="168" t="s">
        <v>44</v>
      </c>
      <c r="B80" s="18">
        <v>44355</v>
      </c>
      <c r="C80" s="7" t="s">
        <v>62</v>
      </c>
      <c r="D80" s="169">
        <v>46150</v>
      </c>
      <c r="E80" s="8">
        <v>45817</v>
      </c>
      <c r="F80" s="8">
        <v>45846</v>
      </c>
      <c r="G80" s="7">
        <f t="shared" si="6"/>
        <v>30</v>
      </c>
      <c r="H80" s="8"/>
      <c r="I80" s="8"/>
      <c r="J80" s="7">
        <f t="shared" si="8"/>
        <v>1</v>
      </c>
      <c r="K80" s="19"/>
      <c r="L80" s="19"/>
      <c r="M80" s="19"/>
      <c r="N80" s="19"/>
      <c r="O80" s="171"/>
      <c r="P80" s="37"/>
      <c r="Q80" s="37"/>
      <c r="R80" s="37"/>
      <c r="S80" s="37"/>
      <c r="T80" s="37"/>
    </row>
    <row r="81" spans="1:36" s="12" customFormat="1" hidden="1" x14ac:dyDescent="0.2">
      <c r="A81" s="155" t="s">
        <v>45</v>
      </c>
      <c r="B81" s="64">
        <v>44355</v>
      </c>
      <c r="C81" s="50" t="s">
        <v>35</v>
      </c>
      <c r="D81" s="71">
        <v>45054</v>
      </c>
      <c r="E81" s="61">
        <v>44760</v>
      </c>
      <c r="F81" s="61">
        <v>44774</v>
      </c>
      <c r="G81" s="59">
        <f t="shared" si="6"/>
        <v>15</v>
      </c>
      <c r="H81" s="61">
        <v>44914</v>
      </c>
      <c r="I81" s="61">
        <v>44928</v>
      </c>
      <c r="J81" s="50">
        <f t="shared" si="8"/>
        <v>15</v>
      </c>
      <c r="K81" s="47"/>
      <c r="L81" s="47"/>
      <c r="M81" s="47"/>
      <c r="N81" s="47"/>
      <c r="O81" s="74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</row>
    <row r="82" spans="1:36" s="12" customFormat="1" hidden="1" x14ac:dyDescent="0.2">
      <c r="A82" s="154" t="s">
        <v>45</v>
      </c>
      <c r="B82" s="70">
        <v>44355</v>
      </c>
      <c r="C82" s="67" t="s">
        <v>41</v>
      </c>
      <c r="D82" s="95">
        <v>45420</v>
      </c>
      <c r="E82" s="88">
        <v>45131</v>
      </c>
      <c r="F82" s="88">
        <v>45145</v>
      </c>
      <c r="G82" s="69">
        <f t="shared" si="6"/>
        <v>15</v>
      </c>
      <c r="H82" s="88">
        <v>45293</v>
      </c>
      <c r="I82" s="88">
        <v>45307</v>
      </c>
      <c r="J82" s="67">
        <f t="shared" si="8"/>
        <v>15</v>
      </c>
      <c r="K82" s="69"/>
      <c r="L82" s="69"/>
      <c r="M82" s="69"/>
      <c r="N82" s="69"/>
      <c r="O82" s="74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</row>
    <row r="83" spans="1:36" x14ac:dyDescent="0.2">
      <c r="A83" s="176" t="s">
        <v>44</v>
      </c>
      <c r="B83" s="178">
        <v>44355</v>
      </c>
      <c r="C83" s="181" t="s">
        <v>116</v>
      </c>
      <c r="D83" s="175">
        <v>46515</v>
      </c>
      <c r="E83" s="51">
        <v>46182</v>
      </c>
      <c r="F83" s="51">
        <v>46211</v>
      </c>
      <c r="G83" s="39">
        <f t="shared" si="6"/>
        <v>30</v>
      </c>
      <c r="H83" s="179"/>
      <c r="I83" s="179"/>
      <c r="J83" s="174"/>
      <c r="K83" s="174"/>
      <c r="L83" s="174"/>
      <c r="M83" s="56"/>
      <c r="N83" s="56"/>
      <c r="O83" s="180"/>
      <c r="P83" s="31"/>
      <c r="Q83" s="31"/>
      <c r="R83" s="31"/>
    </row>
    <row r="84" spans="1:36" s="12" customFormat="1" ht="15" hidden="1" customHeight="1" x14ac:dyDescent="0.2">
      <c r="A84" s="183" t="s">
        <v>45</v>
      </c>
      <c r="B84" s="64">
        <v>44516</v>
      </c>
      <c r="C84" s="50" t="s">
        <v>35</v>
      </c>
      <c r="D84" s="71">
        <v>45215</v>
      </c>
      <c r="E84" s="61">
        <v>45009</v>
      </c>
      <c r="F84" s="61">
        <v>45021</v>
      </c>
      <c r="G84" s="184">
        <f t="shared" si="6"/>
        <v>13</v>
      </c>
      <c r="H84" s="185">
        <v>45180</v>
      </c>
      <c r="I84" s="185">
        <v>45196</v>
      </c>
      <c r="J84" s="186">
        <f t="shared" si="8"/>
        <v>17</v>
      </c>
      <c r="K84" s="50"/>
      <c r="L84" s="50"/>
      <c r="M84" s="50"/>
      <c r="N84" s="50"/>
      <c r="O84" s="72" t="s">
        <v>59</v>
      </c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</row>
    <row r="85" spans="1:36" s="12" customFormat="1" hidden="1" x14ac:dyDescent="0.2">
      <c r="A85" s="153" t="s">
        <v>45</v>
      </c>
      <c r="B85" s="103">
        <v>44355</v>
      </c>
      <c r="C85" s="76" t="s">
        <v>54</v>
      </c>
      <c r="D85" s="82">
        <v>45785</v>
      </c>
      <c r="E85" s="77">
        <v>45490</v>
      </c>
      <c r="F85" s="77">
        <v>45504</v>
      </c>
      <c r="G85" s="76">
        <f t="shared" si="6"/>
        <v>15</v>
      </c>
      <c r="H85" s="77">
        <v>45579</v>
      </c>
      <c r="I85" s="77">
        <v>45593</v>
      </c>
      <c r="J85" s="76">
        <f t="shared" si="8"/>
        <v>15</v>
      </c>
      <c r="K85" s="76"/>
      <c r="L85" s="76"/>
      <c r="M85" s="76"/>
      <c r="N85" s="76"/>
      <c r="O85" s="147" t="s">
        <v>87</v>
      </c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</row>
    <row r="86" spans="1:36" s="21" customFormat="1" hidden="1" x14ac:dyDescent="0.2">
      <c r="A86" s="168" t="s">
        <v>45</v>
      </c>
      <c r="B86" s="18">
        <v>44355</v>
      </c>
      <c r="C86" s="7" t="s">
        <v>62</v>
      </c>
      <c r="D86" s="169">
        <v>46150</v>
      </c>
      <c r="E86" s="8">
        <v>45817</v>
      </c>
      <c r="F86" s="8">
        <v>45846</v>
      </c>
      <c r="G86" s="7">
        <f t="shared" si="6"/>
        <v>30</v>
      </c>
      <c r="H86" s="8"/>
      <c r="I86" s="8"/>
      <c r="J86" s="7">
        <f t="shared" si="8"/>
        <v>1</v>
      </c>
      <c r="K86" s="19"/>
      <c r="L86" s="19"/>
      <c r="M86" s="19"/>
      <c r="N86" s="19"/>
      <c r="O86" s="58"/>
      <c r="P86" s="37"/>
      <c r="Q86" s="37"/>
      <c r="R86" s="37"/>
      <c r="S86" s="37"/>
      <c r="T86" s="37"/>
    </row>
    <row r="87" spans="1:36" x14ac:dyDescent="0.2">
      <c r="A87" s="176" t="s">
        <v>45</v>
      </c>
      <c r="B87" s="178">
        <v>44355</v>
      </c>
      <c r="C87" s="181" t="s">
        <v>116</v>
      </c>
      <c r="D87" s="175">
        <v>46515</v>
      </c>
      <c r="E87" s="51">
        <v>46182</v>
      </c>
      <c r="F87" s="51">
        <v>46211</v>
      </c>
      <c r="G87" s="39">
        <f t="shared" ref="G87" si="13">(F87-E87)+1</f>
        <v>30</v>
      </c>
      <c r="H87" s="179"/>
      <c r="I87" s="179"/>
      <c r="J87" s="174"/>
      <c r="K87" s="174"/>
      <c r="L87" s="174"/>
      <c r="M87" s="56"/>
      <c r="N87" s="56"/>
      <c r="O87" s="180"/>
      <c r="P87" s="31"/>
      <c r="Q87" s="31"/>
      <c r="R87" s="31"/>
    </row>
    <row r="88" spans="1:36" s="12" customFormat="1" hidden="1" x14ac:dyDescent="0.2">
      <c r="A88" s="122" t="s">
        <v>72</v>
      </c>
      <c r="B88" s="103">
        <v>45258</v>
      </c>
      <c r="C88" s="76" t="s">
        <v>54</v>
      </c>
      <c r="D88" s="82">
        <v>45958</v>
      </c>
      <c r="E88" s="77">
        <v>45628</v>
      </c>
      <c r="F88" s="77">
        <v>45642</v>
      </c>
      <c r="G88" s="76">
        <f t="shared" si="6"/>
        <v>15</v>
      </c>
      <c r="H88" s="77">
        <v>45887</v>
      </c>
      <c r="I88" s="77">
        <v>45901</v>
      </c>
      <c r="J88" s="76">
        <f t="shared" si="8"/>
        <v>15</v>
      </c>
      <c r="K88" s="76"/>
      <c r="L88" s="76"/>
      <c r="M88" s="76"/>
      <c r="N88" s="76"/>
      <c r="O88" s="10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</row>
    <row r="89" spans="1:36" s="21" customFormat="1" x14ac:dyDescent="0.2">
      <c r="A89" s="219" t="s">
        <v>72</v>
      </c>
      <c r="B89" s="18">
        <v>45258</v>
      </c>
      <c r="C89" s="7" t="s">
        <v>62</v>
      </c>
      <c r="D89" s="169">
        <v>46323</v>
      </c>
      <c r="E89" s="8">
        <v>45992</v>
      </c>
      <c r="F89" s="8">
        <v>46006</v>
      </c>
      <c r="G89" s="7">
        <f t="shared" si="6"/>
        <v>15</v>
      </c>
      <c r="H89" s="136">
        <v>46219</v>
      </c>
      <c r="I89" s="51">
        <v>46233</v>
      </c>
      <c r="J89" s="39">
        <f t="shared" si="8"/>
        <v>15</v>
      </c>
      <c r="K89" s="7"/>
      <c r="L89" s="7"/>
      <c r="M89" s="7"/>
      <c r="N89" s="7"/>
      <c r="O89" s="125"/>
      <c r="P89" s="37"/>
      <c r="Q89" s="37"/>
      <c r="R89" s="37"/>
      <c r="S89" s="37"/>
      <c r="T89" s="37"/>
    </row>
    <row r="90" spans="1:36" x14ac:dyDescent="0.2">
      <c r="A90" s="176" t="s">
        <v>127</v>
      </c>
      <c r="B90" s="173">
        <v>45915</v>
      </c>
      <c r="C90" s="181" t="s">
        <v>116</v>
      </c>
      <c r="D90" s="175">
        <v>46614</v>
      </c>
      <c r="E90" s="52"/>
      <c r="F90" s="52"/>
      <c r="G90" s="39">
        <f>(F90-E90)+1</f>
        <v>1</v>
      </c>
      <c r="H90" s="54"/>
      <c r="I90" s="54"/>
      <c r="J90" s="54"/>
      <c r="K90" s="54"/>
      <c r="L90" s="54"/>
      <c r="M90" s="54"/>
      <c r="N90" s="54"/>
      <c r="O90" s="54"/>
    </row>
    <row r="91" spans="1:36" x14ac:dyDescent="0.2">
      <c r="A91" s="234" t="s">
        <v>40</v>
      </c>
      <c r="B91" s="235">
        <v>45784</v>
      </c>
      <c r="C91" s="236" t="s">
        <v>116</v>
      </c>
      <c r="D91" s="237">
        <v>46484</v>
      </c>
      <c r="E91" s="237">
        <v>46174</v>
      </c>
      <c r="F91" s="237">
        <v>46203</v>
      </c>
      <c r="G91" s="236">
        <f>(F91-E91)+1</f>
        <v>30</v>
      </c>
      <c r="H91" s="234"/>
      <c r="I91" s="54"/>
      <c r="J91" s="54">
        <f>(I91-H91)+1</f>
        <v>1</v>
      </c>
      <c r="K91" s="54"/>
      <c r="L91" s="54"/>
      <c r="M91" s="54"/>
      <c r="N91" s="54"/>
      <c r="O91" s="54"/>
    </row>
    <row r="92" spans="1:36" s="200" customFormat="1" x14ac:dyDescent="0.2">
      <c r="A92" s="214" t="s">
        <v>1</v>
      </c>
      <c r="B92" s="35">
        <v>46057</v>
      </c>
      <c r="C92" s="30" t="s">
        <v>140</v>
      </c>
      <c r="D92" s="202">
        <v>46756</v>
      </c>
      <c r="E92" s="51"/>
      <c r="F92" s="51"/>
      <c r="G92" s="39">
        <f t="shared" ref="G92" si="14">(F92-E92)+1</f>
        <v>1</v>
      </c>
      <c r="H92" s="38"/>
      <c r="I92" s="38"/>
      <c r="J92" s="30">
        <f t="shared" ref="J92" si="15">(I92-H92)+1</f>
        <v>1</v>
      </c>
      <c r="K92" s="36"/>
      <c r="L92" s="36"/>
      <c r="M92" s="36"/>
      <c r="N92" s="36"/>
      <c r="O92" s="34"/>
    </row>
    <row r="93" spans="1:36" s="37" customFormat="1" ht="19" hidden="1" x14ac:dyDescent="0.25">
      <c r="A93" s="215" t="s">
        <v>91</v>
      </c>
      <c r="B93" s="161"/>
      <c r="C93" s="109"/>
      <c r="D93" s="1"/>
      <c r="E93" s="110"/>
      <c r="F93" s="110"/>
      <c r="G93" s="111"/>
      <c r="H93" s="1"/>
      <c r="I93" s="1"/>
      <c r="J93" s="109"/>
      <c r="K93" s="109"/>
      <c r="L93" s="109"/>
      <c r="M93" s="109"/>
      <c r="N93" s="109"/>
      <c r="O93" s="2"/>
    </row>
    <row r="94" spans="1:36" s="17" customFormat="1" hidden="1" x14ac:dyDescent="0.2">
      <c r="A94" s="216" t="s">
        <v>0</v>
      </c>
      <c r="B94" s="60">
        <v>41673</v>
      </c>
      <c r="C94" s="41" t="s">
        <v>35</v>
      </c>
      <c r="D94" s="60">
        <v>44928</v>
      </c>
      <c r="E94" s="49">
        <v>44683</v>
      </c>
      <c r="F94" s="49">
        <v>44712</v>
      </c>
      <c r="G94" s="59">
        <f>(F94-E94)+1</f>
        <v>30</v>
      </c>
      <c r="H94" s="42"/>
      <c r="I94" s="42"/>
      <c r="J94" s="41">
        <f>(I94-H94)+1</f>
        <v>1</v>
      </c>
      <c r="K94" s="47"/>
      <c r="L94" s="47"/>
      <c r="M94" s="47"/>
      <c r="N94" s="47"/>
      <c r="O94" s="53" t="s">
        <v>71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</row>
    <row r="95" spans="1:36" s="17" customFormat="1" hidden="1" x14ac:dyDescent="0.2">
      <c r="A95" s="217" t="s">
        <v>0</v>
      </c>
      <c r="B95" s="66">
        <v>41673</v>
      </c>
      <c r="C95" s="67" t="s">
        <v>41</v>
      </c>
      <c r="D95" s="66">
        <v>45293</v>
      </c>
      <c r="E95" s="88">
        <v>45048</v>
      </c>
      <c r="F95" s="88">
        <v>45077</v>
      </c>
      <c r="G95" s="67">
        <f>(F95-E95)+1</f>
        <v>30</v>
      </c>
      <c r="H95" s="91"/>
      <c r="I95" s="91"/>
      <c r="J95" s="67">
        <f>(I95-H95)+1</f>
        <v>1</v>
      </c>
      <c r="K95" s="69"/>
      <c r="L95" s="69"/>
      <c r="M95" s="69"/>
      <c r="N95" s="69"/>
      <c r="O95" s="92" t="s">
        <v>70</v>
      </c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</row>
    <row r="96" spans="1:36" s="17" customFormat="1" hidden="1" x14ac:dyDescent="0.2">
      <c r="A96" s="218" t="s">
        <v>0</v>
      </c>
      <c r="B96" s="75">
        <v>41673</v>
      </c>
      <c r="C96" s="76" t="s">
        <v>54</v>
      </c>
      <c r="D96" s="75">
        <v>45659</v>
      </c>
      <c r="E96" s="77">
        <v>45418</v>
      </c>
      <c r="F96" s="77">
        <v>45447</v>
      </c>
      <c r="G96" s="76">
        <f>(F96-E96)+1</f>
        <v>30</v>
      </c>
      <c r="H96" s="77"/>
      <c r="I96" s="77"/>
      <c r="J96" s="80">
        <f>(I96-H96)+1</f>
        <v>1</v>
      </c>
      <c r="K96" s="80"/>
      <c r="L96" s="80"/>
      <c r="M96" s="80"/>
      <c r="N96" s="80"/>
      <c r="O96" s="53" t="s">
        <v>86</v>
      </c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</row>
    <row r="97" spans="1:16" s="200" customFormat="1" x14ac:dyDescent="0.2">
      <c r="A97" s="214" t="s">
        <v>73</v>
      </c>
      <c r="B97" s="35">
        <v>46082</v>
      </c>
      <c r="C97" s="30" t="s">
        <v>140</v>
      </c>
      <c r="D97" s="202">
        <v>46784</v>
      </c>
      <c r="E97" s="51"/>
      <c r="F97" s="51"/>
      <c r="G97" s="39">
        <f>(F97-E97)+1</f>
        <v>1</v>
      </c>
      <c r="H97" s="38"/>
      <c r="I97" s="38"/>
      <c r="J97" s="30"/>
      <c r="K97" s="36"/>
      <c r="L97" s="36"/>
      <c r="M97" s="36"/>
      <c r="N97" s="36"/>
      <c r="O97" s="34"/>
    </row>
    <row r="98" spans="1:16" s="200" customFormat="1" x14ac:dyDescent="0.2">
      <c r="A98" s="214" t="s">
        <v>24</v>
      </c>
      <c r="B98" s="35">
        <v>46072</v>
      </c>
      <c r="C98" s="30" t="s">
        <v>140</v>
      </c>
      <c r="D98" s="202">
        <v>46764</v>
      </c>
      <c r="E98" s="51"/>
      <c r="F98" s="51"/>
      <c r="G98" s="39">
        <f>(F98-E98)+1</f>
        <v>1</v>
      </c>
      <c r="H98" s="38"/>
      <c r="I98" s="38"/>
      <c r="J98" s="30"/>
      <c r="K98" s="36"/>
      <c r="L98" s="36"/>
      <c r="M98" s="36"/>
      <c r="N98" s="36"/>
      <c r="O98" s="34"/>
    </row>
    <row r="99" spans="1:16" ht="19" x14ac:dyDescent="0.25">
      <c r="A99" s="139" t="s">
        <v>27</v>
      </c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1"/>
    </row>
    <row r="100" spans="1:16" x14ac:dyDescent="0.2">
      <c r="A100" s="148" t="s">
        <v>23</v>
      </c>
      <c r="B100" s="148" t="s">
        <v>17</v>
      </c>
      <c r="C100" s="148" t="s">
        <v>18</v>
      </c>
      <c r="D100" s="148" t="s">
        <v>22</v>
      </c>
      <c r="E100" s="150" t="s">
        <v>19</v>
      </c>
      <c r="F100" s="151"/>
      <c r="G100" s="152"/>
      <c r="H100" s="150" t="s">
        <v>21</v>
      </c>
      <c r="I100" s="151"/>
      <c r="J100" s="152"/>
      <c r="K100" s="3"/>
      <c r="L100" s="3"/>
      <c r="M100" s="3"/>
      <c r="N100" s="148" t="s">
        <v>16</v>
      </c>
      <c r="O100" s="148" t="s">
        <v>15</v>
      </c>
    </row>
    <row r="101" spans="1:16" x14ac:dyDescent="0.2">
      <c r="A101" s="149"/>
      <c r="B101" s="149"/>
      <c r="C101" s="149"/>
      <c r="D101" s="149"/>
      <c r="E101" s="3" t="s">
        <v>7</v>
      </c>
      <c r="F101" s="3" t="s">
        <v>8</v>
      </c>
      <c r="G101" s="3" t="s">
        <v>20</v>
      </c>
      <c r="H101" s="3" t="s">
        <v>7</v>
      </c>
      <c r="I101" s="3" t="s">
        <v>8</v>
      </c>
      <c r="J101" s="3" t="s">
        <v>20</v>
      </c>
      <c r="K101" s="3" t="s">
        <v>7</v>
      </c>
      <c r="L101" s="3" t="s">
        <v>8</v>
      </c>
      <c r="M101" s="3" t="s">
        <v>20</v>
      </c>
      <c r="N101" s="149"/>
      <c r="O101" s="149"/>
    </row>
    <row r="102" spans="1:16" ht="16" hidden="1" x14ac:dyDescent="0.2">
      <c r="A102" s="124" t="s">
        <v>39</v>
      </c>
      <c r="B102" s="60">
        <v>44470</v>
      </c>
      <c r="C102" s="50" t="s">
        <v>35</v>
      </c>
      <c r="D102" s="61">
        <v>45169</v>
      </c>
      <c r="E102" s="61">
        <v>44986</v>
      </c>
      <c r="F102" s="61">
        <v>45015</v>
      </c>
      <c r="G102" s="50">
        <f>(F102-E102)+1</f>
        <v>30</v>
      </c>
      <c r="H102" s="61"/>
      <c r="I102" s="61"/>
      <c r="J102" s="50"/>
      <c r="K102" s="50"/>
      <c r="L102" s="50"/>
      <c r="M102" s="50"/>
      <c r="N102" s="50"/>
      <c r="O102" s="24" t="s">
        <v>55</v>
      </c>
      <c r="P102" s="31"/>
    </row>
    <row r="103" spans="1:16" ht="32" hidden="1" x14ac:dyDescent="0.2">
      <c r="A103" s="2" t="s">
        <v>39</v>
      </c>
      <c r="B103" s="75">
        <v>44470</v>
      </c>
      <c r="C103" s="76" t="s">
        <v>41</v>
      </c>
      <c r="D103" s="77">
        <v>45535</v>
      </c>
      <c r="E103" s="77">
        <v>45355</v>
      </c>
      <c r="F103" s="77">
        <v>45384</v>
      </c>
      <c r="G103" s="76">
        <f t="shared" ref="G103" si="16">(F103-E103)+1</f>
        <v>30</v>
      </c>
      <c r="H103" s="77"/>
      <c r="I103" s="77"/>
      <c r="J103" s="76"/>
      <c r="K103" s="76"/>
      <c r="L103" s="76"/>
      <c r="M103" s="76"/>
      <c r="N103" s="76"/>
      <c r="O103" s="89" t="s">
        <v>85</v>
      </c>
      <c r="P103" s="31"/>
    </row>
    <row r="104" spans="1:16" ht="16" hidden="1" customHeight="1" x14ac:dyDescent="0.2">
      <c r="A104" s="2" t="s">
        <v>39</v>
      </c>
      <c r="B104" s="14">
        <v>44470</v>
      </c>
      <c r="C104" s="9" t="s">
        <v>54</v>
      </c>
      <c r="D104" s="16">
        <v>45900</v>
      </c>
      <c r="E104" s="16">
        <v>45726</v>
      </c>
      <c r="F104" s="16">
        <v>45745</v>
      </c>
      <c r="G104" s="9">
        <f t="shared" ref="G104:G109" si="17">(F104-E104)+1</f>
        <v>20</v>
      </c>
      <c r="H104" s="16">
        <v>45901</v>
      </c>
      <c r="I104" s="16">
        <v>45910</v>
      </c>
      <c r="J104" s="9">
        <f>(I104-H104)+1</f>
        <v>10</v>
      </c>
      <c r="K104" s="9"/>
      <c r="L104" s="9"/>
      <c r="M104" s="9"/>
      <c r="N104" s="9"/>
      <c r="O104" s="89" t="s">
        <v>104</v>
      </c>
      <c r="P104" s="33"/>
    </row>
    <row r="105" spans="1:16" ht="16" customHeight="1" x14ac:dyDescent="0.2">
      <c r="A105" s="209" t="s">
        <v>39</v>
      </c>
      <c r="B105" s="178">
        <v>44470</v>
      </c>
      <c r="C105" s="174" t="s">
        <v>116</v>
      </c>
      <c r="D105" s="179">
        <v>46631</v>
      </c>
      <c r="E105" s="179">
        <v>46092</v>
      </c>
      <c r="F105" s="179">
        <v>46099</v>
      </c>
      <c r="G105" s="174">
        <f t="shared" si="17"/>
        <v>8</v>
      </c>
      <c r="H105" s="179"/>
      <c r="I105" s="179"/>
      <c r="J105" s="174"/>
      <c r="K105" s="174"/>
      <c r="L105" s="174"/>
      <c r="M105" s="174"/>
      <c r="N105" s="174"/>
      <c r="O105" s="187" t="s">
        <v>154</v>
      </c>
      <c r="P105" s="33"/>
    </row>
    <row r="106" spans="1:16" ht="16" hidden="1" x14ac:dyDescent="0.2">
      <c r="A106" s="164" t="s">
        <v>67</v>
      </c>
      <c r="B106" s="14">
        <v>45241</v>
      </c>
      <c r="C106" s="9" t="s">
        <v>54</v>
      </c>
      <c r="D106" s="16">
        <v>45941</v>
      </c>
      <c r="E106" s="16">
        <v>45691</v>
      </c>
      <c r="F106" s="16">
        <v>45720</v>
      </c>
      <c r="G106" s="9">
        <f t="shared" si="17"/>
        <v>30</v>
      </c>
      <c r="H106" s="23"/>
      <c r="I106" s="23"/>
      <c r="J106" s="11">
        <f>(I106-H106)+1</f>
        <v>1</v>
      </c>
      <c r="K106" s="9"/>
      <c r="L106" s="9"/>
      <c r="M106" s="9"/>
      <c r="N106" s="9"/>
      <c r="O106" s="22" t="s">
        <v>38</v>
      </c>
      <c r="P106" s="33"/>
    </row>
    <row r="107" spans="1:16" x14ac:dyDescent="0.2">
      <c r="A107" s="209" t="s">
        <v>67</v>
      </c>
      <c r="B107" s="178">
        <v>45241</v>
      </c>
      <c r="C107" s="174" t="s">
        <v>116</v>
      </c>
      <c r="D107" s="179">
        <v>46661</v>
      </c>
      <c r="E107" s="179">
        <v>46118</v>
      </c>
      <c r="F107" s="179">
        <v>46147</v>
      </c>
      <c r="G107" s="174">
        <f t="shared" si="17"/>
        <v>30</v>
      </c>
      <c r="H107" s="175"/>
      <c r="I107" s="175"/>
      <c r="J107" s="56"/>
      <c r="K107" s="174"/>
      <c r="L107" s="174"/>
      <c r="M107" s="174"/>
      <c r="N107" s="174"/>
      <c r="O107" s="204"/>
      <c r="P107" s="33"/>
    </row>
    <row r="108" spans="1:16" ht="16" hidden="1" x14ac:dyDescent="0.2">
      <c r="A108" s="164" t="s">
        <v>68</v>
      </c>
      <c r="B108" s="14">
        <v>45231</v>
      </c>
      <c r="C108" s="9" t="s">
        <v>54</v>
      </c>
      <c r="D108" s="16">
        <v>45931</v>
      </c>
      <c r="E108" s="16">
        <v>45748</v>
      </c>
      <c r="F108" s="16">
        <v>45777</v>
      </c>
      <c r="G108" s="9">
        <f t="shared" si="17"/>
        <v>30</v>
      </c>
      <c r="H108" s="23"/>
      <c r="I108" s="23"/>
      <c r="J108" s="11">
        <f>(I108-H108)+1</f>
        <v>1</v>
      </c>
      <c r="K108" s="9"/>
      <c r="L108" s="9"/>
      <c r="M108" s="9"/>
      <c r="N108" s="9"/>
      <c r="O108" s="89" t="s">
        <v>108</v>
      </c>
      <c r="P108" s="33"/>
    </row>
    <row r="109" spans="1:16" x14ac:dyDescent="0.2">
      <c r="A109" s="209" t="s">
        <v>68</v>
      </c>
      <c r="B109" s="178">
        <v>45231</v>
      </c>
      <c r="C109" s="174" t="s">
        <v>116</v>
      </c>
      <c r="D109" s="179">
        <v>46661</v>
      </c>
      <c r="E109" s="179">
        <v>46062</v>
      </c>
      <c r="F109" s="179">
        <v>46091</v>
      </c>
      <c r="G109" s="174">
        <f t="shared" si="17"/>
        <v>30</v>
      </c>
      <c r="H109" s="175"/>
      <c r="I109" s="175"/>
      <c r="J109" s="56"/>
      <c r="K109" s="174"/>
      <c r="L109" s="174"/>
      <c r="M109" s="174"/>
      <c r="N109" s="174"/>
      <c r="O109" s="187"/>
      <c r="P109" s="33"/>
    </row>
    <row r="110" spans="1:16" s="4" customFormat="1" ht="16" hidden="1" x14ac:dyDescent="0.2">
      <c r="A110" s="2" t="s">
        <v>25</v>
      </c>
      <c r="B110" s="121">
        <v>44986</v>
      </c>
      <c r="C110" s="9" t="s">
        <v>54</v>
      </c>
      <c r="D110" s="16">
        <v>45689</v>
      </c>
      <c r="E110" s="16">
        <v>45418</v>
      </c>
      <c r="F110" s="16">
        <v>45447</v>
      </c>
      <c r="G110" s="9">
        <f t="shared" ref="G110:G111" si="18">(F110-E110)+1</f>
        <v>30</v>
      </c>
      <c r="H110" s="23"/>
      <c r="I110" s="23"/>
      <c r="J110" s="11"/>
      <c r="K110" s="15"/>
      <c r="L110" s="15"/>
      <c r="M110" s="15"/>
      <c r="N110" s="15"/>
      <c r="O110" s="89" t="s">
        <v>78</v>
      </c>
    </row>
    <row r="111" spans="1:16" s="4" customFormat="1" ht="16" x14ac:dyDescent="0.2">
      <c r="A111" s="125" t="s">
        <v>25</v>
      </c>
      <c r="B111" s="159">
        <v>44986</v>
      </c>
      <c r="C111" s="127" t="s">
        <v>62</v>
      </c>
      <c r="D111" s="128">
        <v>46054</v>
      </c>
      <c r="E111" s="8">
        <v>45817</v>
      </c>
      <c r="F111" s="8">
        <v>45837</v>
      </c>
      <c r="G111" s="7">
        <f t="shared" si="18"/>
        <v>21</v>
      </c>
      <c r="H111" s="8">
        <v>46041</v>
      </c>
      <c r="I111" s="8">
        <v>46054</v>
      </c>
      <c r="J111" s="7">
        <f>(I111-H111)+1</f>
        <v>14</v>
      </c>
      <c r="K111" s="53">
        <v>46237</v>
      </c>
      <c r="L111" s="53">
        <v>46251</v>
      </c>
      <c r="M111" s="39">
        <f>(L111-K111)+1</f>
        <v>15</v>
      </c>
      <c r="N111" s="39">
        <f>G111+J111+M111</f>
        <v>50</v>
      </c>
      <c r="O111" s="160" t="s">
        <v>132</v>
      </c>
    </row>
    <row r="112" spans="1:16" ht="16" hidden="1" x14ac:dyDescent="0.2">
      <c r="A112" s="2" t="s">
        <v>61</v>
      </c>
      <c r="B112" s="132">
        <v>45293</v>
      </c>
      <c r="C112" s="127" t="s">
        <v>62</v>
      </c>
      <c r="D112" s="128">
        <v>46358</v>
      </c>
      <c r="E112" s="128">
        <v>45663</v>
      </c>
      <c r="F112" s="128">
        <v>45677</v>
      </c>
      <c r="G112" s="127">
        <f>(F112-E112)+1</f>
        <v>15</v>
      </c>
      <c r="H112" s="128">
        <v>45839</v>
      </c>
      <c r="I112" s="128">
        <v>45853</v>
      </c>
      <c r="J112" s="127">
        <f>(I112-H112)+1</f>
        <v>15</v>
      </c>
      <c r="K112" s="127"/>
      <c r="L112" s="127"/>
      <c r="M112" s="127"/>
      <c r="N112" s="127"/>
      <c r="O112" s="131" t="s">
        <v>63</v>
      </c>
    </row>
    <row r="113" spans="1:36" x14ac:dyDescent="0.2">
      <c r="A113" s="54" t="s">
        <v>61</v>
      </c>
      <c r="B113" s="178">
        <v>45293</v>
      </c>
      <c r="C113" s="174" t="s">
        <v>116</v>
      </c>
      <c r="D113" s="179">
        <v>46723</v>
      </c>
      <c r="E113" s="179">
        <v>46027</v>
      </c>
      <c r="F113" s="179">
        <v>46041</v>
      </c>
      <c r="G113" s="174">
        <f>(F113-E113)+1</f>
        <v>15</v>
      </c>
      <c r="H113" s="51">
        <v>46219</v>
      </c>
      <c r="I113" s="51">
        <v>46233</v>
      </c>
      <c r="J113" s="39">
        <f>(I113-H113)+1</f>
        <v>15</v>
      </c>
      <c r="K113" s="54"/>
      <c r="L113" s="54"/>
      <c r="M113" s="54"/>
      <c r="N113" s="54"/>
      <c r="O113" s="234" t="s">
        <v>136</v>
      </c>
    </row>
    <row r="114" spans="1:36" ht="16" x14ac:dyDescent="0.2">
      <c r="A114" s="126" t="s">
        <v>84</v>
      </c>
      <c r="B114" s="132">
        <v>45610</v>
      </c>
      <c r="C114" s="127" t="s">
        <v>62</v>
      </c>
      <c r="D114" s="128">
        <v>46309</v>
      </c>
      <c r="E114" s="128">
        <v>46113</v>
      </c>
      <c r="F114" s="128">
        <v>46142</v>
      </c>
      <c r="G114" s="127">
        <f t="shared" ref="G114:G116" si="19">(F114-E114)+1</f>
        <v>30</v>
      </c>
      <c r="H114" s="129"/>
      <c r="I114" s="129"/>
      <c r="J114" s="39">
        <f>(I114-H114)+1</f>
        <v>1</v>
      </c>
      <c r="K114" s="127"/>
      <c r="L114" s="127"/>
      <c r="M114" s="127"/>
      <c r="N114" s="127"/>
      <c r="O114" s="131" t="s">
        <v>158</v>
      </c>
    </row>
    <row r="115" spans="1:36" hidden="1" x14ac:dyDescent="0.2">
      <c r="A115" s="126" t="s">
        <v>93</v>
      </c>
      <c r="B115" s="132">
        <v>45387</v>
      </c>
      <c r="C115" s="127" t="s">
        <v>62</v>
      </c>
      <c r="D115" s="128">
        <v>46086</v>
      </c>
      <c r="E115" s="128">
        <v>45887</v>
      </c>
      <c r="F115" s="128">
        <v>45916</v>
      </c>
      <c r="G115" s="127">
        <f>(F115-E115)+1</f>
        <v>30</v>
      </c>
      <c r="H115" s="129"/>
      <c r="I115" s="129"/>
      <c r="J115" s="130"/>
      <c r="K115" s="127"/>
      <c r="L115" s="127"/>
      <c r="M115" s="127"/>
      <c r="N115" s="127"/>
      <c r="O115" s="5" t="s">
        <v>123</v>
      </c>
    </row>
    <row r="116" spans="1:36" ht="16" x14ac:dyDescent="0.2">
      <c r="A116" s="203" t="s">
        <v>93</v>
      </c>
      <c r="B116" s="178">
        <v>45387</v>
      </c>
      <c r="C116" s="174" t="s">
        <v>116</v>
      </c>
      <c r="D116" s="179">
        <v>46451</v>
      </c>
      <c r="E116" s="51">
        <v>46237</v>
      </c>
      <c r="F116" s="51">
        <v>46266</v>
      </c>
      <c r="G116" s="39">
        <f t="shared" si="19"/>
        <v>30</v>
      </c>
      <c r="H116" s="175"/>
      <c r="I116" s="175"/>
      <c r="J116" s="56"/>
      <c r="K116" s="174"/>
      <c r="L116" s="174"/>
      <c r="M116" s="174"/>
      <c r="N116" s="174"/>
      <c r="O116" s="89" t="s">
        <v>149</v>
      </c>
      <c r="P116" s="33"/>
    </row>
    <row r="117" spans="1:36" ht="16" hidden="1" x14ac:dyDescent="0.2">
      <c r="A117" s="28" t="s">
        <v>6</v>
      </c>
      <c r="B117" s="132">
        <v>45293</v>
      </c>
      <c r="C117" s="127" t="s">
        <v>62</v>
      </c>
      <c r="D117" s="128">
        <v>46358</v>
      </c>
      <c r="E117" s="165">
        <v>45663</v>
      </c>
      <c r="F117" s="165">
        <v>45692</v>
      </c>
      <c r="G117" s="166">
        <f>(F117-E117)+1</f>
        <v>30</v>
      </c>
      <c r="H117" s="129"/>
      <c r="I117" s="129"/>
      <c r="J117" s="130"/>
      <c r="K117" s="127"/>
      <c r="L117" s="127"/>
      <c r="M117" s="127"/>
      <c r="N117" s="127"/>
      <c r="O117" s="89" t="s">
        <v>97</v>
      </c>
    </row>
    <row r="118" spans="1:36" x14ac:dyDescent="0.2">
      <c r="A118" s="52" t="s">
        <v>6</v>
      </c>
      <c r="B118" s="178">
        <v>45293</v>
      </c>
      <c r="C118" s="174" t="s">
        <v>116</v>
      </c>
      <c r="D118" s="179">
        <v>46723</v>
      </c>
      <c r="E118" s="179">
        <v>46036</v>
      </c>
      <c r="F118" s="179">
        <v>46050</v>
      </c>
      <c r="G118" s="174">
        <f>(F118-E118)+1</f>
        <v>15</v>
      </c>
      <c r="H118" s="52"/>
      <c r="I118" s="52"/>
      <c r="J118" s="52"/>
      <c r="K118" s="54"/>
      <c r="L118" s="54"/>
      <c r="M118" s="54"/>
      <c r="N118" s="54"/>
      <c r="O118" s="54"/>
    </row>
    <row r="119" spans="1:36" x14ac:dyDescent="0.2">
      <c r="A119" s="176" t="s">
        <v>130</v>
      </c>
      <c r="B119" s="173">
        <v>45873</v>
      </c>
      <c r="C119" s="181" t="s">
        <v>116</v>
      </c>
      <c r="D119" s="175">
        <v>46572</v>
      </c>
      <c r="E119" s="51">
        <v>46357</v>
      </c>
      <c r="F119" s="51">
        <v>46386</v>
      </c>
      <c r="G119" s="39">
        <f t="shared" ref="G119" si="20">(F119-E119)+1</f>
        <v>30</v>
      </c>
      <c r="H119" s="54"/>
      <c r="I119" s="54"/>
      <c r="J119" s="54"/>
      <c r="K119" s="54"/>
      <c r="L119" s="54"/>
      <c r="M119" s="54"/>
      <c r="N119" s="54"/>
      <c r="O119" s="51" t="s">
        <v>159</v>
      </c>
    </row>
    <row r="120" spans="1:36" ht="19" x14ac:dyDescent="0.25">
      <c r="A120" s="139" t="s">
        <v>28</v>
      </c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1"/>
    </row>
    <row r="121" spans="1:36" x14ac:dyDescent="0.2">
      <c r="A121" s="148" t="s">
        <v>23</v>
      </c>
      <c r="B121" s="148" t="s">
        <v>17</v>
      </c>
      <c r="C121" s="148" t="s">
        <v>18</v>
      </c>
      <c r="D121" s="148" t="s">
        <v>22</v>
      </c>
      <c r="E121" s="150" t="s">
        <v>19</v>
      </c>
      <c r="F121" s="151"/>
      <c r="G121" s="152"/>
      <c r="H121" s="150" t="s">
        <v>21</v>
      </c>
      <c r="I121" s="151"/>
      <c r="J121" s="152"/>
      <c r="K121" s="3"/>
      <c r="L121" s="3"/>
      <c r="M121" s="3"/>
      <c r="N121" s="148" t="s">
        <v>16</v>
      </c>
      <c r="O121" s="148" t="s">
        <v>15</v>
      </c>
    </row>
    <row r="122" spans="1:36" x14ac:dyDescent="0.2">
      <c r="A122" s="149"/>
      <c r="B122" s="149"/>
      <c r="C122" s="149"/>
      <c r="D122" s="149"/>
      <c r="E122" s="3" t="s">
        <v>7</v>
      </c>
      <c r="F122" s="3" t="s">
        <v>8</v>
      </c>
      <c r="G122" s="3" t="s">
        <v>20</v>
      </c>
      <c r="H122" s="3" t="s">
        <v>7</v>
      </c>
      <c r="I122" s="3" t="s">
        <v>8</v>
      </c>
      <c r="J122" s="3" t="s">
        <v>20</v>
      </c>
      <c r="K122" s="3"/>
      <c r="L122" s="3"/>
      <c r="M122" s="3"/>
      <c r="N122" s="149"/>
      <c r="O122" s="149"/>
    </row>
    <row r="123" spans="1:36" s="43" customFormat="1" ht="14.5" hidden="1" customHeight="1" x14ac:dyDescent="0.2">
      <c r="A123" s="86" t="s">
        <v>29</v>
      </c>
      <c r="B123" s="142">
        <v>43811</v>
      </c>
      <c r="C123" s="9" t="s">
        <v>26</v>
      </c>
      <c r="D123" s="16">
        <v>44511</v>
      </c>
      <c r="E123" s="10">
        <v>43913</v>
      </c>
      <c r="F123" s="10">
        <v>43922</v>
      </c>
      <c r="G123" s="9">
        <f t="shared" ref="G123:G132" si="21">(F123-E123)+1</f>
        <v>10</v>
      </c>
      <c r="H123" s="16">
        <v>43923</v>
      </c>
      <c r="I123" s="16">
        <v>43932</v>
      </c>
      <c r="J123" s="9">
        <f t="shared" ref="J123:J124" si="22">(I123-H123)+1</f>
        <v>10</v>
      </c>
      <c r="K123" s="14">
        <v>44264</v>
      </c>
      <c r="L123" s="14">
        <v>44268</v>
      </c>
      <c r="M123" s="9">
        <f t="shared" ref="M123:M124" si="23">(L123-K123)+1</f>
        <v>5</v>
      </c>
      <c r="N123" s="9">
        <f>G123+J123+M123</f>
        <v>25</v>
      </c>
      <c r="O123" s="22" t="s">
        <v>32</v>
      </c>
      <c r="P123" s="31">
        <v>43993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</row>
    <row r="124" spans="1:36" ht="29.25" hidden="1" customHeight="1" x14ac:dyDescent="0.2">
      <c r="A124" s="87"/>
      <c r="B124" s="143"/>
      <c r="C124" s="30" t="s">
        <v>31</v>
      </c>
      <c r="D124" s="29">
        <v>44876</v>
      </c>
      <c r="E124" s="38">
        <v>44269</v>
      </c>
      <c r="F124" s="38">
        <v>44273</v>
      </c>
      <c r="G124" s="30">
        <f t="shared" si="21"/>
        <v>5</v>
      </c>
      <c r="H124" s="51">
        <v>44809</v>
      </c>
      <c r="I124" s="51">
        <v>44833</v>
      </c>
      <c r="J124" s="39">
        <f t="shared" si="22"/>
        <v>25</v>
      </c>
      <c r="K124" s="53"/>
      <c r="L124" s="53"/>
      <c r="M124" s="39">
        <f t="shared" si="23"/>
        <v>1</v>
      </c>
      <c r="N124" s="30"/>
      <c r="O124" s="45" t="s">
        <v>37</v>
      </c>
      <c r="P124" s="31"/>
    </row>
    <row r="125" spans="1:36" ht="16" hidden="1" x14ac:dyDescent="0.2">
      <c r="A125" s="144" t="s">
        <v>29</v>
      </c>
      <c r="B125" s="83">
        <v>43787</v>
      </c>
      <c r="C125" s="41" t="s">
        <v>35</v>
      </c>
      <c r="D125" s="40">
        <v>45217</v>
      </c>
      <c r="E125" s="40">
        <v>44972</v>
      </c>
      <c r="F125" s="40">
        <v>44991</v>
      </c>
      <c r="G125" s="41">
        <f t="shared" si="21"/>
        <v>20</v>
      </c>
      <c r="H125" s="61">
        <v>44999</v>
      </c>
      <c r="I125" s="61">
        <v>45008</v>
      </c>
      <c r="J125" s="50">
        <f>(I125-H125)+1</f>
        <v>10</v>
      </c>
      <c r="K125" s="50"/>
      <c r="L125" s="50"/>
      <c r="M125" s="50"/>
      <c r="N125" s="50"/>
      <c r="O125" s="63" t="s">
        <v>57</v>
      </c>
      <c r="P125" s="31"/>
    </row>
    <row r="126" spans="1:36" ht="16" hidden="1" x14ac:dyDescent="0.2">
      <c r="A126" s="144" t="s">
        <v>29</v>
      </c>
      <c r="B126" s="75">
        <v>43787</v>
      </c>
      <c r="C126" s="76" t="s">
        <v>41</v>
      </c>
      <c r="D126" s="77">
        <v>45583</v>
      </c>
      <c r="E126" s="77">
        <v>45341</v>
      </c>
      <c r="F126" s="77">
        <v>45350</v>
      </c>
      <c r="G126" s="76">
        <f t="shared" si="21"/>
        <v>10</v>
      </c>
      <c r="H126" s="77">
        <v>45425</v>
      </c>
      <c r="I126" s="77">
        <v>45444</v>
      </c>
      <c r="J126" s="76">
        <f>(I126-H126)+1</f>
        <v>20</v>
      </c>
      <c r="K126" s="76"/>
      <c r="L126" s="76"/>
      <c r="M126" s="76"/>
      <c r="N126" s="76"/>
      <c r="O126" s="81" t="s">
        <v>75</v>
      </c>
      <c r="P126" s="31"/>
    </row>
    <row r="127" spans="1:36" ht="16" hidden="1" x14ac:dyDescent="0.2">
      <c r="A127" s="144" t="s">
        <v>29</v>
      </c>
      <c r="B127" s="14">
        <v>43787</v>
      </c>
      <c r="C127" s="9" t="s">
        <v>54</v>
      </c>
      <c r="D127" s="16">
        <v>45948</v>
      </c>
      <c r="E127" s="16">
        <v>45782</v>
      </c>
      <c r="F127" s="16">
        <v>45811</v>
      </c>
      <c r="G127" s="9">
        <f t="shared" si="21"/>
        <v>30</v>
      </c>
      <c r="H127" s="16"/>
      <c r="I127" s="16"/>
      <c r="J127" s="9"/>
      <c r="K127" s="9"/>
      <c r="L127" s="9"/>
      <c r="M127" s="9"/>
      <c r="N127" s="9"/>
      <c r="O127" s="22" t="s">
        <v>105</v>
      </c>
      <c r="P127" s="31"/>
    </row>
    <row r="128" spans="1:36" x14ac:dyDescent="0.2">
      <c r="A128" s="190" t="s">
        <v>29</v>
      </c>
      <c r="B128" s="6">
        <v>43787</v>
      </c>
      <c r="C128" s="7" t="s">
        <v>62</v>
      </c>
      <c r="D128" s="8">
        <v>46313</v>
      </c>
      <c r="E128" s="51">
        <v>46230</v>
      </c>
      <c r="F128" s="51">
        <v>46259</v>
      </c>
      <c r="G128" s="39">
        <f t="shared" si="21"/>
        <v>30</v>
      </c>
      <c r="H128" s="8"/>
      <c r="I128" s="8"/>
      <c r="J128" s="7">
        <f t="shared" ref="J128:J133" si="24">(I128-H128)+1</f>
        <v>1</v>
      </c>
      <c r="K128" s="7"/>
      <c r="L128" s="7"/>
      <c r="M128" s="7"/>
      <c r="N128" s="7"/>
      <c r="O128" s="57"/>
      <c r="P128" s="31"/>
    </row>
    <row r="129" spans="1:16" ht="16" hidden="1" x14ac:dyDescent="0.2">
      <c r="A129" s="138" t="s">
        <v>30</v>
      </c>
      <c r="B129" s="83">
        <v>43809</v>
      </c>
      <c r="C129" s="41" t="s">
        <v>35</v>
      </c>
      <c r="D129" s="40">
        <v>45231</v>
      </c>
      <c r="E129" s="40">
        <v>44963</v>
      </c>
      <c r="F129" s="40">
        <v>44977</v>
      </c>
      <c r="G129" s="41">
        <f t="shared" si="21"/>
        <v>15</v>
      </c>
      <c r="H129" s="61">
        <v>45173</v>
      </c>
      <c r="I129" s="61">
        <v>45187</v>
      </c>
      <c r="J129" s="50">
        <f t="shared" si="24"/>
        <v>15</v>
      </c>
      <c r="K129" s="50"/>
      <c r="L129" s="50"/>
      <c r="M129" s="50"/>
      <c r="N129" s="50"/>
      <c r="O129" s="63" t="s">
        <v>53</v>
      </c>
      <c r="P129" s="33"/>
    </row>
    <row r="130" spans="1:16" ht="16" hidden="1" x14ac:dyDescent="0.2">
      <c r="A130" s="138" t="s">
        <v>30</v>
      </c>
      <c r="B130" s="75">
        <v>43809</v>
      </c>
      <c r="C130" s="76" t="s">
        <v>41</v>
      </c>
      <c r="D130" s="77">
        <v>45597</v>
      </c>
      <c r="E130" s="77">
        <v>45329</v>
      </c>
      <c r="F130" s="77">
        <v>45338</v>
      </c>
      <c r="G130" s="76">
        <f t="shared" si="21"/>
        <v>10</v>
      </c>
      <c r="H130" s="77">
        <v>45446</v>
      </c>
      <c r="I130" s="77">
        <v>45465</v>
      </c>
      <c r="J130" s="76">
        <f t="shared" si="24"/>
        <v>20</v>
      </c>
      <c r="K130" s="76"/>
      <c r="L130" s="76"/>
      <c r="M130" s="76"/>
      <c r="N130" s="76"/>
      <c r="O130" s="81" t="s">
        <v>76</v>
      </c>
      <c r="P130" s="33"/>
    </row>
    <row r="131" spans="1:16" ht="16" hidden="1" x14ac:dyDescent="0.2">
      <c r="A131" s="138" t="s">
        <v>30</v>
      </c>
      <c r="B131" s="14">
        <v>43809</v>
      </c>
      <c r="C131" s="9" t="s">
        <v>54</v>
      </c>
      <c r="D131" s="16">
        <v>45962</v>
      </c>
      <c r="E131" s="16">
        <v>45679</v>
      </c>
      <c r="F131" s="16">
        <v>45693</v>
      </c>
      <c r="G131" s="9">
        <f t="shared" si="21"/>
        <v>15</v>
      </c>
      <c r="H131" s="16">
        <v>45754</v>
      </c>
      <c r="I131" s="16">
        <v>45768</v>
      </c>
      <c r="J131" s="9">
        <f t="shared" si="24"/>
        <v>15</v>
      </c>
      <c r="K131" s="9"/>
      <c r="L131" s="9"/>
      <c r="M131" s="9"/>
      <c r="N131" s="9"/>
      <c r="O131" s="89" t="s">
        <v>122</v>
      </c>
      <c r="P131" s="33"/>
    </row>
    <row r="132" spans="1:16" ht="16" hidden="1" x14ac:dyDescent="0.2">
      <c r="A132" s="191" t="s">
        <v>30</v>
      </c>
      <c r="B132" s="6">
        <v>43809</v>
      </c>
      <c r="C132" s="7" t="s">
        <v>62</v>
      </c>
      <c r="D132" s="8">
        <v>46327</v>
      </c>
      <c r="E132" s="8"/>
      <c r="F132" s="8"/>
      <c r="G132" s="7">
        <f t="shared" si="21"/>
        <v>1</v>
      </c>
      <c r="H132" s="8"/>
      <c r="I132" s="8"/>
      <c r="J132" s="7">
        <f t="shared" si="24"/>
        <v>1</v>
      </c>
      <c r="K132" s="7"/>
      <c r="L132" s="7"/>
      <c r="M132" s="7"/>
      <c r="N132" s="7"/>
      <c r="O132" s="89" t="s">
        <v>137</v>
      </c>
      <c r="P132" s="33"/>
    </row>
    <row r="133" spans="1:16" ht="16" hidden="1" x14ac:dyDescent="0.2">
      <c r="A133" s="124" t="s">
        <v>36</v>
      </c>
      <c r="B133" s="75">
        <v>44713</v>
      </c>
      <c r="C133" s="76" t="s">
        <v>41</v>
      </c>
      <c r="D133" s="77">
        <v>45413</v>
      </c>
      <c r="E133" s="77">
        <v>45082</v>
      </c>
      <c r="F133" s="77">
        <v>45111</v>
      </c>
      <c r="G133" s="76">
        <f>(F133-E133)+1</f>
        <v>30</v>
      </c>
      <c r="H133" s="79"/>
      <c r="I133" s="79"/>
      <c r="J133" s="80">
        <f t="shared" si="24"/>
        <v>1</v>
      </c>
      <c r="K133" s="76"/>
      <c r="L133" s="76"/>
      <c r="M133" s="76"/>
      <c r="N133" s="76"/>
      <c r="O133" s="81" t="s">
        <v>56</v>
      </c>
      <c r="P133" s="33"/>
    </row>
    <row r="134" spans="1:16" ht="16" hidden="1" x14ac:dyDescent="0.2">
      <c r="A134" s="124" t="s">
        <v>36</v>
      </c>
      <c r="B134" s="14">
        <v>44713</v>
      </c>
      <c r="C134" s="9" t="s">
        <v>54</v>
      </c>
      <c r="D134" s="16">
        <v>45778</v>
      </c>
      <c r="E134" s="16">
        <v>45446</v>
      </c>
      <c r="F134" s="16">
        <v>45475</v>
      </c>
      <c r="G134" s="9">
        <f>(F134-E134)+1</f>
        <v>30</v>
      </c>
      <c r="H134" s="16"/>
      <c r="I134" s="23"/>
      <c r="J134" s="11"/>
      <c r="K134" s="9"/>
      <c r="L134" s="9"/>
      <c r="M134" s="9"/>
      <c r="N134" s="9"/>
      <c r="O134" s="106" t="s">
        <v>64</v>
      </c>
      <c r="P134" s="33"/>
    </row>
    <row r="135" spans="1:16" ht="16" hidden="1" x14ac:dyDescent="0.2">
      <c r="A135" s="2" t="s">
        <v>36</v>
      </c>
      <c r="B135" s="6">
        <v>44713</v>
      </c>
      <c r="C135" s="7" t="s">
        <v>62</v>
      </c>
      <c r="D135" s="8">
        <v>46143</v>
      </c>
      <c r="E135" s="8">
        <v>45721</v>
      </c>
      <c r="F135" s="8">
        <v>45750</v>
      </c>
      <c r="G135" s="7">
        <f>(F135-E135)+1</f>
        <v>30</v>
      </c>
      <c r="H135" s="162"/>
      <c r="I135" s="162"/>
      <c r="J135" s="19"/>
      <c r="K135" s="7"/>
      <c r="L135" s="7"/>
      <c r="M135" s="7"/>
      <c r="N135" s="7"/>
      <c r="O135" s="89" t="s">
        <v>107</v>
      </c>
      <c r="P135" s="33"/>
    </row>
    <row r="136" spans="1:16" x14ac:dyDescent="0.2">
      <c r="A136" s="203" t="s">
        <v>36</v>
      </c>
      <c r="B136" s="178">
        <v>44713</v>
      </c>
      <c r="C136" s="174" t="s">
        <v>116</v>
      </c>
      <c r="D136" s="179">
        <v>46143</v>
      </c>
      <c r="E136" s="51">
        <v>46174</v>
      </c>
      <c r="F136" s="51">
        <v>46203</v>
      </c>
      <c r="G136" s="39">
        <f t="shared" ref="G136" si="25">(F136-E136)+1</f>
        <v>30</v>
      </c>
      <c r="H136" s="175"/>
      <c r="I136" s="175"/>
      <c r="J136" s="56"/>
      <c r="K136" s="174"/>
      <c r="L136" s="174"/>
      <c r="M136" s="174"/>
      <c r="N136" s="174"/>
      <c r="O136" s="89"/>
      <c r="P136" s="33"/>
    </row>
    <row r="137" spans="1:16" hidden="1" x14ac:dyDescent="0.2">
      <c r="A137" s="2" t="s">
        <v>94</v>
      </c>
      <c r="B137" s="6">
        <v>45544</v>
      </c>
      <c r="C137" s="7" t="s">
        <v>62</v>
      </c>
      <c r="D137" s="8">
        <v>46243</v>
      </c>
      <c r="E137" s="8">
        <v>45931</v>
      </c>
      <c r="F137" s="8">
        <v>45960</v>
      </c>
      <c r="G137" s="7">
        <f>(F137-E137)+1</f>
        <v>30</v>
      </c>
      <c r="H137" s="125"/>
      <c r="I137" s="125"/>
      <c r="J137" s="125"/>
      <c r="K137" s="125"/>
      <c r="L137" s="125"/>
      <c r="M137" s="125"/>
      <c r="N137" s="125"/>
      <c r="O137" s="52" t="s">
        <v>125</v>
      </c>
    </row>
    <row r="138" spans="1:16" hidden="1" x14ac:dyDescent="0.2">
      <c r="A138" s="52" t="s">
        <v>102</v>
      </c>
      <c r="B138" s="6">
        <v>45419</v>
      </c>
      <c r="C138" s="7" t="s">
        <v>62</v>
      </c>
      <c r="D138" s="8">
        <v>46119</v>
      </c>
      <c r="E138" s="51">
        <v>45873</v>
      </c>
      <c r="F138" s="51">
        <v>45887</v>
      </c>
      <c r="G138" s="39">
        <f t="shared" ref="G138:G151" si="26">(F138-E138)+1</f>
        <v>15</v>
      </c>
      <c r="H138" s="125"/>
      <c r="I138" s="125"/>
      <c r="J138" s="125"/>
      <c r="K138" s="125"/>
      <c r="L138" s="125"/>
      <c r="M138" s="125"/>
      <c r="N138" s="125"/>
      <c r="O138" s="125"/>
    </row>
    <row r="139" spans="1:16" hidden="1" x14ac:dyDescent="0.2">
      <c r="A139" s="176" t="s">
        <v>119</v>
      </c>
      <c r="B139" s="173">
        <v>45810</v>
      </c>
      <c r="C139" s="174" t="s">
        <v>116</v>
      </c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</row>
    <row r="140" spans="1:16" x14ac:dyDescent="0.2">
      <c r="A140" s="52" t="s">
        <v>94</v>
      </c>
      <c r="B140" s="178">
        <v>45544</v>
      </c>
      <c r="C140" s="174" t="s">
        <v>116</v>
      </c>
      <c r="D140" s="179">
        <v>46608</v>
      </c>
      <c r="E140" s="51">
        <v>46300</v>
      </c>
      <c r="F140" s="51">
        <v>46329</v>
      </c>
      <c r="G140" s="39">
        <f>(F140-E140)+1</f>
        <v>30</v>
      </c>
      <c r="H140" s="54"/>
      <c r="I140" s="54"/>
      <c r="J140" s="54"/>
      <c r="K140" s="54"/>
      <c r="L140" s="54"/>
      <c r="M140" s="54"/>
      <c r="N140" s="54"/>
      <c r="O140" s="176"/>
    </row>
    <row r="141" spans="1:16" hidden="1" x14ac:dyDescent="0.2">
      <c r="A141" s="54" t="s">
        <v>126</v>
      </c>
      <c r="B141" s="178">
        <v>45978</v>
      </c>
      <c r="C141" s="174" t="s">
        <v>116</v>
      </c>
      <c r="D141" s="179">
        <v>46677</v>
      </c>
      <c r="E141" s="54"/>
      <c r="F141" s="54"/>
      <c r="G141" s="174"/>
      <c r="H141" s="54"/>
      <c r="I141" s="54"/>
      <c r="J141" s="54"/>
      <c r="K141" s="54"/>
      <c r="L141" s="54"/>
      <c r="M141" s="54"/>
      <c r="N141" s="54"/>
      <c r="O141" s="54"/>
    </row>
    <row r="142" spans="1:16" ht="16" hidden="1" x14ac:dyDescent="0.2">
      <c r="A142" s="2" t="s">
        <v>50</v>
      </c>
      <c r="B142" s="75">
        <v>44845</v>
      </c>
      <c r="C142" s="76" t="s">
        <v>41</v>
      </c>
      <c r="D142" s="77">
        <v>45546</v>
      </c>
      <c r="E142" s="77">
        <v>45215</v>
      </c>
      <c r="F142" s="77">
        <v>45229</v>
      </c>
      <c r="G142" s="76">
        <f t="shared" si="26"/>
        <v>15</v>
      </c>
      <c r="H142" s="77">
        <v>45299</v>
      </c>
      <c r="I142" s="77">
        <v>45313</v>
      </c>
      <c r="J142" s="76">
        <f>(I142-H142)+1</f>
        <v>15</v>
      </c>
      <c r="K142" s="76"/>
      <c r="L142" s="76"/>
      <c r="M142" s="76"/>
      <c r="N142" s="76"/>
      <c r="O142" s="81" t="s">
        <v>95</v>
      </c>
    </row>
    <row r="143" spans="1:16" ht="16" hidden="1" x14ac:dyDescent="0.2">
      <c r="A143" s="2" t="s">
        <v>50</v>
      </c>
      <c r="B143" s="14">
        <v>44845</v>
      </c>
      <c r="C143" s="9" t="s">
        <v>54</v>
      </c>
      <c r="D143" s="16">
        <v>45911</v>
      </c>
      <c r="E143" s="16">
        <v>45607</v>
      </c>
      <c r="F143" s="16">
        <v>45636</v>
      </c>
      <c r="G143" s="9">
        <f t="shared" si="26"/>
        <v>30</v>
      </c>
      <c r="H143" s="16"/>
      <c r="I143" s="16"/>
      <c r="J143" s="9"/>
      <c r="K143" s="9"/>
      <c r="L143" s="9"/>
      <c r="M143" s="9"/>
      <c r="N143" s="9"/>
      <c r="O143" s="22" t="s">
        <v>98</v>
      </c>
    </row>
    <row r="144" spans="1:16" hidden="1" x14ac:dyDescent="0.2">
      <c r="A144" s="125" t="s">
        <v>50</v>
      </c>
      <c r="B144" s="6">
        <v>44845</v>
      </c>
      <c r="C144" s="7" t="s">
        <v>62</v>
      </c>
      <c r="D144" s="8">
        <v>46276</v>
      </c>
      <c r="E144" s="8">
        <v>46020</v>
      </c>
      <c r="F144" s="8">
        <v>46049</v>
      </c>
      <c r="G144" s="7">
        <f t="shared" si="26"/>
        <v>30</v>
      </c>
      <c r="H144" s="8">
        <v>46006</v>
      </c>
      <c r="I144" s="8">
        <v>46035</v>
      </c>
      <c r="J144" s="7">
        <f>(I144-H144)+1</f>
        <v>30</v>
      </c>
      <c r="K144" s="7"/>
      <c r="L144" s="7"/>
      <c r="M144" s="7"/>
      <c r="N144" s="7"/>
      <c r="O144" s="57"/>
    </row>
    <row r="145" spans="1:15" ht="16" hidden="1" x14ac:dyDescent="0.2">
      <c r="A145" s="2" t="s">
        <v>52</v>
      </c>
      <c r="B145" s="14">
        <v>44928</v>
      </c>
      <c r="C145" s="9" t="s">
        <v>54</v>
      </c>
      <c r="D145" s="16">
        <v>45993</v>
      </c>
      <c r="E145" s="16">
        <v>45495</v>
      </c>
      <c r="F145" s="16">
        <v>45509</v>
      </c>
      <c r="G145" s="9">
        <f t="shared" si="26"/>
        <v>15</v>
      </c>
      <c r="H145" s="16">
        <v>45642</v>
      </c>
      <c r="I145" s="16">
        <v>45656</v>
      </c>
      <c r="J145" s="9">
        <f>(I145-H145)+1</f>
        <v>15</v>
      </c>
      <c r="K145" s="9"/>
      <c r="L145" s="9"/>
      <c r="M145" s="9"/>
      <c r="N145" s="9"/>
      <c r="O145" s="106" t="s">
        <v>96</v>
      </c>
    </row>
    <row r="146" spans="1:15" ht="16" hidden="1" x14ac:dyDescent="0.2">
      <c r="A146" s="125" t="s">
        <v>52</v>
      </c>
      <c r="B146" s="6">
        <v>44928</v>
      </c>
      <c r="C146" s="7" t="s">
        <v>62</v>
      </c>
      <c r="D146" s="8">
        <v>46358</v>
      </c>
      <c r="E146" s="8">
        <v>45853</v>
      </c>
      <c r="F146" s="8">
        <v>45867</v>
      </c>
      <c r="G146" s="7">
        <f t="shared" si="26"/>
        <v>15</v>
      </c>
      <c r="H146" s="192">
        <v>46027</v>
      </c>
      <c r="I146" s="193">
        <v>46041</v>
      </c>
      <c r="J146" s="194">
        <v>15</v>
      </c>
      <c r="K146" s="7"/>
      <c r="L146" s="7"/>
      <c r="M146" s="7"/>
      <c r="N146" s="7"/>
      <c r="O146" s="57" t="s">
        <v>118</v>
      </c>
    </row>
    <row r="147" spans="1:15" x14ac:dyDescent="0.2">
      <c r="A147" s="52" t="s">
        <v>52</v>
      </c>
      <c r="B147" s="178">
        <v>44928</v>
      </c>
      <c r="C147" s="174" t="s">
        <v>116</v>
      </c>
      <c r="D147" s="179">
        <v>46723</v>
      </c>
      <c r="E147" s="51">
        <v>46204</v>
      </c>
      <c r="F147" s="51">
        <v>46218</v>
      </c>
      <c r="G147" s="39">
        <f t="shared" si="26"/>
        <v>15</v>
      </c>
      <c r="H147" s="212">
        <v>46357</v>
      </c>
      <c r="I147" s="213">
        <v>46371</v>
      </c>
      <c r="J147" s="39">
        <f t="shared" ref="J147" si="27">(I147-H147)+1</f>
        <v>15</v>
      </c>
      <c r="K147" s="174"/>
      <c r="L147" s="174"/>
      <c r="M147" s="174"/>
      <c r="N147" s="174"/>
      <c r="O147" s="204"/>
    </row>
    <row r="148" spans="1:15" ht="16" hidden="1" x14ac:dyDescent="0.2">
      <c r="A148" s="2" t="s">
        <v>33</v>
      </c>
      <c r="B148" s="14">
        <v>44928</v>
      </c>
      <c r="C148" s="9" t="s">
        <v>54</v>
      </c>
      <c r="D148" s="16">
        <v>45993</v>
      </c>
      <c r="E148" s="16">
        <v>45628</v>
      </c>
      <c r="F148" s="16">
        <v>45657</v>
      </c>
      <c r="G148" s="9">
        <f t="shared" si="26"/>
        <v>30</v>
      </c>
      <c r="H148" s="16"/>
      <c r="I148" s="23"/>
      <c r="J148" s="11">
        <f>(I148-H148)+1</f>
        <v>1</v>
      </c>
      <c r="K148" s="9"/>
      <c r="L148" s="9"/>
      <c r="M148" s="9"/>
      <c r="N148" s="9"/>
      <c r="O148" s="57" t="s">
        <v>138</v>
      </c>
    </row>
    <row r="149" spans="1:15" ht="16" x14ac:dyDescent="0.2">
      <c r="A149" s="52" t="s">
        <v>33</v>
      </c>
      <c r="B149" s="6">
        <v>44928</v>
      </c>
      <c r="C149" s="7" t="s">
        <v>62</v>
      </c>
      <c r="D149" s="8">
        <v>46358</v>
      </c>
      <c r="E149" s="8"/>
      <c r="F149" s="8">
        <v>45960</v>
      </c>
      <c r="G149" s="7">
        <f t="shared" si="26"/>
        <v>45961</v>
      </c>
      <c r="H149" s="8"/>
      <c r="I149" s="162"/>
      <c r="J149" s="19">
        <f>(I149-H149)+1</f>
        <v>1</v>
      </c>
      <c r="K149" s="7"/>
      <c r="L149" s="7"/>
      <c r="M149" s="7"/>
      <c r="N149" s="7"/>
      <c r="O149" s="89" t="s">
        <v>151</v>
      </c>
    </row>
    <row r="150" spans="1:15" ht="16" hidden="1" x14ac:dyDescent="0.2">
      <c r="A150" s="195" t="s">
        <v>30</v>
      </c>
      <c r="B150" s="62">
        <v>46034</v>
      </c>
      <c r="C150" s="48" t="s">
        <v>140</v>
      </c>
      <c r="D150" s="62">
        <v>46733</v>
      </c>
      <c r="E150" s="34"/>
      <c r="F150" s="34"/>
      <c r="G150" s="30">
        <f t="shared" si="26"/>
        <v>1</v>
      </c>
      <c r="H150" s="34"/>
      <c r="I150" s="34"/>
      <c r="J150" s="34"/>
      <c r="K150" s="34"/>
      <c r="L150" s="34"/>
      <c r="M150" s="34"/>
      <c r="N150" s="34"/>
      <c r="O150" s="196" t="s">
        <v>141</v>
      </c>
    </row>
    <row r="151" spans="1:15" x14ac:dyDescent="0.2">
      <c r="A151" s="176" t="s">
        <v>33</v>
      </c>
      <c r="B151" s="178">
        <v>44928</v>
      </c>
      <c r="C151" s="181" t="s">
        <v>116</v>
      </c>
      <c r="D151" s="179">
        <v>46723</v>
      </c>
      <c r="E151" s="51">
        <v>46300</v>
      </c>
      <c r="F151" s="51">
        <v>46314</v>
      </c>
      <c r="G151" s="39">
        <f t="shared" si="26"/>
        <v>15</v>
      </c>
      <c r="H151" s="51">
        <v>46342</v>
      </c>
      <c r="I151" s="51">
        <v>46356</v>
      </c>
      <c r="J151" s="39">
        <f>(I151-H151)+1</f>
        <v>15</v>
      </c>
      <c r="K151" s="54"/>
      <c r="L151" s="54"/>
      <c r="M151" s="54"/>
      <c r="N151" s="54"/>
      <c r="O151" s="211"/>
    </row>
    <row r="152" spans="1:15" x14ac:dyDescent="0.2">
      <c r="A152" s="210" t="s">
        <v>150</v>
      </c>
      <c r="B152" s="62">
        <v>46050</v>
      </c>
      <c r="C152" s="48" t="s">
        <v>140</v>
      </c>
      <c r="D152" s="62">
        <v>47115</v>
      </c>
      <c r="E152" s="52"/>
      <c r="F152" s="52"/>
      <c r="G152" s="39"/>
      <c r="H152" s="34"/>
      <c r="I152" s="34"/>
      <c r="J152" s="34"/>
      <c r="K152" s="34"/>
      <c r="L152" s="34"/>
      <c r="M152" s="34"/>
      <c r="N152" s="34"/>
      <c r="O152" s="196"/>
    </row>
    <row r="153" spans="1:15" ht="19" x14ac:dyDescent="0.25">
      <c r="A153" s="139" t="s">
        <v>65</v>
      </c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1"/>
    </row>
    <row r="154" spans="1:15" x14ac:dyDescent="0.2">
      <c r="A154" s="148" t="s">
        <v>23</v>
      </c>
      <c r="B154" s="148" t="s">
        <v>17</v>
      </c>
      <c r="C154" s="148" t="s">
        <v>18</v>
      </c>
      <c r="D154" s="148" t="s">
        <v>22</v>
      </c>
      <c r="E154" s="150" t="s">
        <v>19</v>
      </c>
      <c r="F154" s="151"/>
      <c r="G154" s="152"/>
      <c r="H154" s="150" t="s">
        <v>21</v>
      </c>
      <c r="I154" s="151"/>
      <c r="J154" s="152"/>
      <c r="K154" s="3"/>
      <c r="L154" s="3"/>
      <c r="M154" s="3"/>
      <c r="N154" s="148" t="s">
        <v>16</v>
      </c>
      <c r="O154" s="148" t="s">
        <v>15</v>
      </c>
    </row>
    <row r="155" spans="1:15" x14ac:dyDescent="0.2">
      <c r="A155" s="149"/>
      <c r="B155" s="149"/>
      <c r="C155" s="149"/>
      <c r="D155" s="149"/>
      <c r="E155" s="3" t="s">
        <v>7</v>
      </c>
      <c r="F155" s="3" t="s">
        <v>8</v>
      </c>
      <c r="G155" s="3" t="s">
        <v>20</v>
      </c>
      <c r="H155" s="3" t="s">
        <v>7</v>
      </c>
      <c r="I155" s="3" t="s">
        <v>8</v>
      </c>
      <c r="J155" s="3" t="s">
        <v>20</v>
      </c>
      <c r="K155" s="3" t="s">
        <v>7</v>
      </c>
      <c r="L155" s="3" t="s">
        <v>8</v>
      </c>
      <c r="M155" s="3" t="s">
        <v>20</v>
      </c>
      <c r="N155" s="149"/>
      <c r="O155" s="149"/>
    </row>
    <row r="156" spans="1:15" ht="16" hidden="1" x14ac:dyDescent="0.2">
      <c r="A156" s="13" t="s">
        <v>66</v>
      </c>
      <c r="B156" s="14">
        <v>45271</v>
      </c>
      <c r="C156" s="9" t="s">
        <v>54</v>
      </c>
      <c r="D156" s="16">
        <v>45972</v>
      </c>
      <c r="E156" s="16">
        <v>45691</v>
      </c>
      <c r="F156" s="16">
        <v>45720</v>
      </c>
      <c r="G156" s="9">
        <f>(F156-E156)+1</f>
        <v>30</v>
      </c>
      <c r="H156" s="16"/>
      <c r="I156" s="23"/>
      <c r="J156" s="11">
        <f t="shared" ref="J156:J157" si="28">(I156-H156)+1</f>
        <v>1</v>
      </c>
      <c r="K156" s="9"/>
      <c r="L156" s="9"/>
      <c r="M156" s="9"/>
      <c r="N156" s="9"/>
      <c r="O156" s="106" t="s">
        <v>106</v>
      </c>
    </row>
    <row r="157" spans="1:15" ht="16" hidden="1" x14ac:dyDescent="0.2">
      <c r="A157" s="126" t="s">
        <v>66</v>
      </c>
      <c r="B157" s="132">
        <v>45271</v>
      </c>
      <c r="C157" s="127" t="s">
        <v>62</v>
      </c>
      <c r="D157" s="128">
        <v>46337</v>
      </c>
      <c r="E157" s="128">
        <v>46076</v>
      </c>
      <c r="F157" s="128">
        <v>46105</v>
      </c>
      <c r="G157" s="127">
        <f>(F157-E157)+1</f>
        <v>30</v>
      </c>
      <c r="H157" s="128"/>
      <c r="I157" s="129"/>
      <c r="J157" s="130">
        <f t="shared" si="28"/>
        <v>1</v>
      </c>
      <c r="K157" s="127"/>
      <c r="L157" s="127"/>
      <c r="M157" s="127"/>
      <c r="N157" s="127"/>
      <c r="O157" s="89" t="s">
        <v>148</v>
      </c>
    </row>
    <row r="158" spans="1:15" hidden="1" x14ac:dyDescent="0.2">
      <c r="A158" s="52" t="s">
        <v>77</v>
      </c>
      <c r="B158" s="132">
        <v>45449</v>
      </c>
      <c r="C158" s="127" t="s">
        <v>62</v>
      </c>
      <c r="D158" s="128">
        <v>46148</v>
      </c>
      <c r="E158" s="51">
        <v>45817</v>
      </c>
      <c r="F158" s="51">
        <v>45846</v>
      </c>
      <c r="G158" s="39">
        <f t="shared" ref="G158:G168" si="29">(F158-E158)+1</f>
        <v>30</v>
      </c>
      <c r="H158" s="126"/>
      <c r="I158" s="126"/>
      <c r="J158" s="126"/>
      <c r="K158" s="126"/>
      <c r="L158" s="126"/>
      <c r="M158" s="126"/>
      <c r="N158" s="126"/>
      <c r="O158" s="126"/>
    </row>
    <row r="159" spans="1:15" x14ac:dyDescent="0.2">
      <c r="A159" s="54" t="s">
        <v>66</v>
      </c>
      <c r="B159" s="178">
        <v>45271</v>
      </c>
      <c r="C159" s="174" t="s">
        <v>116</v>
      </c>
      <c r="D159" s="179">
        <v>46702</v>
      </c>
      <c r="E159" s="51"/>
      <c r="F159" s="51"/>
      <c r="G159" s="39"/>
      <c r="H159" s="54"/>
      <c r="I159" s="54"/>
      <c r="J159" s="54"/>
      <c r="K159" s="54"/>
      <c r="L159" s="54"/>
      <c r="M159" s="54"/>
      <c r="N159" s="54"/>
      <c r="O159" s="54"/>
    </row>
    <row r="160" spans="1:15" x14ac:dyDescent="0.2">
      <c r="A160" s="126" t="s">
        <v>79</v>
      </c>
      <c r="B160" s="132">
        <v>45449</v>
      </c>
      <c r="C160" s="127" t="s">
        <v>62</v>
      </c>
      <c r="D160" s="128">
        <v>46148</v>
      </c>
      <c r="E160" s="128">
        <v>45950</v>
      </c>
      <c r="F160" s="128">
        <v>45979</v>
      </c>
      <c r="G160" s="127">
        <f t="shared" si="29"/>
        <v>30</v>
      </c>
      <c r="H160" s="126"/>
      <c r="I160" s="126"/>
      <c r="J160" s="126"/>
      <c r="K160" s="126"/>
      <c r="L160" s="126"/>
      <c r="M160" s="126"/>
      <c r="N160" s="126"/>
      <c r="O160" s="52" t="s">
        <v>124</v>
      </c>
    </row>
    <row r="161" spans="1:36" x14ac:dyDescent="0.2">
      <c r="A161" s="52" t="s">
        <v>79</v>
      </c>
      <c r="B161" s="178">
        <v>45449</v>
      </c>
      <c r="C161" s="181" t="s">
        <v>116</v>
      </c>
      <c r="D161" s="179">
        <v>46513</v>
      </c>
      <c r="E161" s="51">
        <v>46300</v>
      </c>
      <c r="F161" s="51">
        <v>46329</v>
      </c>
      <c r="G161" s="39">
        <f t="shared" si="29"/>
        <v>30</v>
      </c>
      <c r="H161" s="54"/>
      <c r="I161" s="54"/>
      <c r="J161" s="54"/>
      <c r="K161" s="54"/>
      <c r="L161" s="54"/>
      <c r="M161" s="54"/>
      <c r="N161" s="54"/>
      <c r="O161" s="52" t="s">
        <v>146</v>
      </c>
      <c r="P161" s="220" t="s">
        <v>157</v>
      </c>
      <c r="Q161" s="221"/>
    </row>
    <row r="162" spans="1:36" ht="16" x14ac:dyDescent="0.2">
      <c r="A162" s="52" t="s">
        <v>103</v>
      </c>
      <c r="B162" s="132">
        <v>45601</v>
      </c>
      <c r="C162" s="127" t="s">
        <v>62</v>
      </c>
      <c r="D162" s="128">
        <v>46300</v>
      </c>
      <c r="E162" s="51"/>
      <c r="F162" s="51"/>
      <c r="G162" s="39">
        <f t="shared" si="29"/>
        <v>1</v>
      </c>
      <c r="H162" s="126"/>
      <c r="I162" s="126"/>
      <c r="J162" s="126"/>
      <c r="K162" s="126"/>
      <c r="L162" s="126"/>
      <c r="M162" s="126"/>
      <c r="N162" s="126"/>
      <c r="O162" s="89" t="s">
        <v>145</v>
      </c>
      <c r="P162" s="222">
        <v>46049</v>
      </c>
      <c r="Q162" s="222">
        <f>P162+30</f>
        <v>46079</v>
      </c>
    </row>
    <row r="163" spans="1:36" x14ac:dyDescent="0.2">
      <c r="A163" s="52" t="s">
        <v>121</v>
      </c>
      <c r="B163" s="178">
        <v>45846</v>
      </c>
      <c r="C163" s="174" t="s">
        <v>116</v>
      </c>
      <c r="D163" s="175">
        <v>46546</v>
      </c>
      <c r="E163" s="51">
        <v>46266</v>
      </c>
      <c r="F163" s="51">
        <v>46295</v>
      </c>
      <c r="G163" s="39">
        <f t="shared" si="29"/>
        <v>30</v>
      </c>
      <c r="H163" s="54"/>
      <c r="I163" s="54"/>
      <c r="J163" s="54"/>
      <c r="K163" s="54"/>
      <c r="L163" s="54"/>
      <c r="M163" s="54"/>
      <c r="N163" s="54"/>
      <c r="O163" s="52" t="s">
        <v>152</v>
      </c>
    </row>
    <row r="164" spans="1:36" x14ac:dyDescent="0.2">
      <c r="A164" s="52" t="s">
        <v>120</v>
      </c>
      <c r="B164" s="178">
        <v>45755</v>
      </c>
      <c r="C164" s="174" t="s">
        <v>116</v>
      </c>
      <c r="D164" s="175">
        <v>46454</v>
      </c>
      <c r="E164" s="51">
        <v>46174</v>
      </c>
      <c r="F164" s="51">
        <v>46203</v>
      </c>
      <c r="G164" s="39">
        <f t="shared" si="29"/>
        <v>30</v>
      </c>
      <c r="H164" s="54"/>
      <c r="I164" s="54"/>
      <c r="J164" s="54"/>
      <c r="K164" s="54"/>
      <c r="L164" s="54"/>
      <c r="M164" s="54"/>
      <c r="N164" s="54"/>
      <c r="O164" s="187"/>
    </row>
    <row r="165" spans="1:36" hidden="1" x14ac:dyDescent="0.2">
      <c r="A165" s="2" t="s">
        <v>74</v>
      </c>
      <c r="B165" s="14">
        <v>44984</v>
      </c>
      <c r="C165" s="9" t="s">
        <v>54</v>
      </c>
      <c r="D165" s="16">
        <v>45685</v>
      </c>
      <c r="E165" s="16">
        <v>45427</v>
      </c>
      <c r="F165" s="16">
        <v>45436</v>
      </c>
      <c r="G165" s="9">
        <f t="shared" si="29"/>
        <v>10</v>
      </c>
      <c r="H165" s="16">
        <v>45649</v>
      </c>
      <c r="I165" s="16">
        <v>45668</v>
      </c>
      <c r="J165" s="9">
        <f t="shared" ref="J165" si="30">(I165-H165)+1</f>
        <v>20</v>
      </c>
      <c r="K165" s="13"/>
      <c r="L165" s="13"/>
      <c r="M165" s="13"/>
      <c r="N165" s="13"/>
      <c r="O165" s="13"/>
    </row>
    <row r="166" spans="1:36" hidden="1" x14ac:dyDescent="0.2">
      <c r="A166" s="2" t="s">
        <v>74</v>
      </c>
      <c r="B166" s="163">
        <v>44985</v>
      </c>
      <c r="C166" s="7" t="s">
        <v>62</v>
      </c>
      <c r="D166" s="8">
        <v>46050</v>
      </c>
      <c r="E166" s="26"/>
      <c r="F166" s="26"/>
      <c r="G166" s="27"/>
      <c r="H166" s="125"/>
      <c r="I166" s="125"/>
      <c r="J166" s="125"/>
      <c r="K166" s="125"/>
      <c r="L166" s="125"/>
      <c r="M166" s="125"/>
      <c r="N166" s="125"/>
      <c r="O166" s="125"/>
    </row>
    <row r="167" spans="1:36" ht="16" x14ac:dyDescent="0.2">
      <c r="A167" s="52" t="s">
        <v>131</v>
      </c>
      <c r="B167" s="173">
        <v>45923</v>
      </c>
      <c r="C167" s="181" t="s">
        <v>116</v>
      </c>
      <c r="D167" s="175">
        <v>46622</v>
      </c>
      <c r="E167" s="51">
        <v>46419</v>
      </c>
      <c r="F167" s="51">
        <v>46448</v>
      </c>
      <c r="G167" s="39">
        <f t="shared" si="29"/>
        <v>30</v>
      </c>
      <c r="H167" s="54"/>
      <c r="I167" s="54"/>
      <c r="J167" s="54"/>
      <c r="K167" s="54"/>
      <c r="L167" s="54"/>
      <c r="M167" s="54"/>
      <c r="N167" s="54"/>
      <c r="O167" s="89" t="s">
        <v>153</v>
      </c>
    </row>
    <row r="168" spans="1:36" x14ac:dyDescent="0.2">
      <c r="A168" s="52" t="s">
        <v>92</v>
      </c>
      <c r="B168" s="178">
        <v>45931</v>
      </c>
      <c r="C168" s="174" t="s">
        <v>116</v>
      </c>
      <c r="D168" s="179">
        <v>46631</v>
      </c>
      <c r="E168" s="51">
        <v>46300</v>
      </c>
      <c r="F168" s="51">
        <v>46329</v>
      </c>
      <c r="G168" s="39">
        <f t="shared" si="29"/>
        <v>30</v>
      </c>
      <c r="H168" s="54"/>
      <c r="I168" s="54"/>
      <c r="J168" s="54"/>
      <c r="K168" s="54"/>
      <c r="L168" s="54"/>
      <c r="M168" s="54"/>
      <c r="N168" s="54"/>
      <c r="O168" s="54"/>
    </row>
    <row r="169" spans="1:36" ht="19" x14ac:dyDescent="0.25">
      <c r="A169" s="139" t="s">
        <v>115</v>
      </c>
    </row>
    <row r="170" spans="1:36" x14ac:dyDescent="0.2">
      <c r="A170" s="148" t="s">
        <v>23</v>
      </c>
      <c r="B170" s="148" t="s">
        <v>17</v>
      </c>
      <c r="C170" s="148" t="s">
        <v>18</v>
      </c>
      <c r="D170" s="148" t="s">
        <v>22</v>
      </c>
      <c r="E170" s="150" t="s">
        <v>19</v>
      </c>
      <c r="F170" s="151"/>
      <c r="G170" s="152"/>
      <c r="H170" s="150" t="s">
        <v>21</v>
      </c>
      <c r="I170" s="151"/>
      <c r="J170" s="152"/>
      <c r="K170" s="3"/>
      <c r="L170" s="3"/>
      <c r="M170" s="3"/>
      <c r="N170" s="148" t="s">
        <v>16</v>
      </c>
      <c r="O170" s="148" t="s">
        <v>15</v>
      </c>
    </row>
    <row r="171" spans="1:36" x14ac:dyDescent="0.2">
      <c r="A171" s="149"/>
      <c r="B171" s="149"/>
      <c r="C171" s="149"/>
      <c r="D171" s="149"/>
      <c r="E171" s="3" t="s">
        <v>7</v>
      </c>
      <c r="F171" s="3" t="s">
        <v>8</v>
      </c>
      <c r="G171" s="3" t="s">
        <v>20</v>
      </c>
      <c r="H171" s="3" t="s">
        <v>7</v>
      </c>
      <c r="I171" s="3" t="s">
        <v>8</v>
      </c>
      <c r="J171" s="3" t="s">
        <v>20</v>
      </c>
      <c r="K171" s="3" t="s">
        <v>7</v>
      </c>
      <c r="L171" s="3" t="s">
        <v>8</v>
      </c>
      <c r="M171" s="3" t="s">
        <v>20</v>
      </c>
      <c r="N171" s="149"/>
      <c r="O171" s="149"/>
    </row>
    <row r="172" spans="1:36" s="170" customFormat="1" x14ac:dyDescent="0.2">
      <c r="A172" s="189" t="s">
        <v>0</v>
      </c>
      <c r="B172" s="178">
        <v>45449</v>
      </c>
      <c r="C172" s="174" t="s">
        <v>62</v>
      </c>
      <c r="D172" s="178">
        <v>46148</v>
      </c>
      <c r="E172" s="179">
        <v>45978</v>
      </c>
      <c r="F172" s="179">
        <v>45987</v>
      </c>
      <c r="G172" s="174">
        <f>(F172-E172)+1</f>
        <v>10</v>
      </c>
      <c r="H172" s="51"/>
      <c r="I172" s="51"/>
      <c r="J172" s="39">
        <f>(I172-H172)+1</f>
        <v>1</v>
      </c>
      <c r="K172" s="56"/>
      <c r="L172" s="56"/>
      <c r="M172" s="56"/>
      <c r="N172" s="56"/>
      <c r="O172" s="188" t="s">
        <v>134</v>
      </c>
      <c r="P172"/>
      <c r="Q172"/>
      <c r="R172"/>
      <c r="S172"/>
      <c r="T172"/>
    </row>
    <row r="173" spans="1:36" s="12" customFormat="1" hidden="1" x14ac:dyDescent="0.2">
      <c r="A173" s="199" t="s">
        <v>1</v>
      </c>
      <c r="B173" s="180">
        <v>45726</v>
      </c>
      <c r="C173" s="174" t="s">
        <v>116</v>
      </c>
      <c r="D173" s="180">
        <v>46428</v>
      </c>
      <c r="E173" s="179">
        <v>46027</v>
      </c>
      <c r="F173" s="179">
        <v>46053</v>
      </c>
      <c r="G173" s="174">
        <f t="shared" ref="G173:G177" si="31">(F173-E173)+1</f>
        <v>27</v>
      </c>
      <c r="H173" s="55"/>
      <c r="I173" s="55"/>
      <c r="J173" s="174">
        <f t="shared" ref="J173:J174" si="32">(I173-H173)+1</f>
        <v>1</v>
      </c>
      <c r="K173" s="56"/>
      <c r="L173" s="56"/>
      <c r="M173" s="56"/>
      <c r="N173" s="56"/>
      <c r="O173" s="54" t="s">
        <v>143</v>
      </c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</row>
    <row r="174" spans="1:36" x14ac:dyDescent="0.2">
      <c r="A174" s="52" t="s">
        <v>24</v>
      </c>
      <c r="B174" s="173">
        <v>45753</v>
      </c>
      <c r="C174" s="174" t="s">
        <v>116</v>
      </c>
      <c r="D174" s="178">
        <v>46452</v>
      </c>
      <c r="E174" s="51">
        <v>46357</v>
      </c>
      <c r="F174" s="51">
        <v>46381</v>
      </c>
      <c r="G174" s="39">
        <f t="shared" si="31"/>
        <v>25</v>
      </c>
      <c r="H174" s="54"/>
      <c r="I174" s="54"/>
      <c r="J174" s="174">
        <f t="shared" si="32"/>
        <v>1</v>
      </c>
      <c r="K174" s="54"/>
      <c r="L174" s="54"/>
      <c r="M174" s="54"/>
      <c r="N174" s="54"/>
      <c r="O174" s="52" t="s">
        <v>144</v>
      </c>
    </row>
    <row r="175" spans="1:36" s="123" customFormat="1" ht="32" hidden="1" x14ac:dyDescent="0.2">
      <c r="A175" s="197" t="s">
        <v>30</v>
      </c>
      <c r="B175" s="178">
        <v>45793</v>
      </c>
      <c r="C175" s="174" t="s">
        <v>116</v>
      </c>
      <c r="D175" s="178">
        <v>46493</v>
      </c>
      <c r="E175" s="54"/>
      <c r="F175" s="54"/>
      <c r="G175" s="174">
        <f t="shared" si="31"/>
        <v>1</v>
      </c>
      <c r="H175" s="54"/>
      <c r="I175" s="54"/>
      <c r="J175" s="54"/>
      <c r="K175" s="54"/>
      <c r="L175" s="54"/>
      <c r="M175" s="54"/>
      <c r="N175" s="54"/>
      <c r="O175" s="198" t="s">
        <v>142</v>
      </c>
    </row>
    <row r="176" spans="1:36" x14ac:dyDescent="0.2">
      <c r="A176" s="210" t="s">
        <v>39</v>
      </c>
      <c r="B176" s="62">
        <v>46053</v>
      </c>
      <c r="C176" s="48" t="s">
        <v>140</v>
      </c>
      <c r="D176" s="62">
        <v>47118</v>
      </c>
      <c r="E176" s="52"/>
      <c r="F176" s="52"/>
      <c r="G176" s="39">
        <f t="shared" si="31"/>
        <v>1</v>
      </c>
      <c r="H176" s="34"/>
      <c r="I176" s="34"/>
      <c r="J176" s="34"/>
      <c r="K176" s="34"/>
      <c r="L176" s="34"/>
      <c r="M176" s="34"/>
      <c r="N176" s="34"/>
      <c r="O176" s="196"/>
    </row>
    <row r="177" spans="1:15" s="123" customFormat="1" x14ac:dyDescent="0.2">
      <c r="A177" s="54" t="s">
        <v>50</v>
      </c>
      <c r="B177" s="53">
        <v>45992</v>
      </c>
      <c r="C177" s="174" t="s">
        <v>116</v>
      </c>
      <c r="D177" s="178">
        <v>46692</v>
      </c>
      <c r="E177" s="52"/>
      <c r="F177" s="52"/>
      <c r="G177" s="39">
        <f t="shared" si="31"/>
        <v>1</v>
      </c>
      <c r="H177" s="54"/>
      <c r="I177" s="54"/>
      <c r="J177" s="54"/>
      <c r="K177" s="54"/>
      <c r="L177" s="54"/>
      <c r="M177" s="54"/>
      <c r="N177" s="54"/>
      <c r="O177" s="198"/>
    </row>
    <row r="178" spans="1:15" x14ac:dyDescent="0.2">
      <c r="A178" s="228" t="s">
        <v>61</v>
      </c>
      <c r="B178" s="229">
        <v>46119</v>
      </c>
      <c r="C178" s="224" t="s">
        <v>140</v>
      </c>
      <c r="D178" s="229">
        <v>46819</v>
      </c>
      <c r="E178" s="225"/>
      <c r="F178" s="225"/>
      <c r="G178" s="226">
        <f>(F178-E178)+1</f>
        <v>1</v>
      </c>
      <c r="H178" s="223"/>
      <c r="I178" s="223"/>
      <c r="J178" s="226">
        <f t="shared" ref="J178" si="33">(I178-H178)+1</f>
        <v>1</v>
      </c>
      <c r="K178" s="223"/>
      <c r="L178" s="223"/>
      <c r="M178" s="223"/>
      <c r="N178" s="223"/>
      <c r="O178" s="227"/>
    </row>
    <row r="179" spans="1:15" ht="19" x14ac:dyDescent="0.25">
      <c r="A179" s="139" t="s">
        <v>135</v>
      </c>
    </row>
    <row r="180" spans="1:15" x14ac:dyDescent="0.2">
      <c r="A180" s="177" t="s">
        <v>0</v>
      </c>
      <c r="B180" s="178">
        <v>45964</v>
      </c>
      <c r="C180" s="174" t="s">
        <v>116</v>
      </c>
      <c r="D180" s="178">
        <v>46493</v>
      </c>
      <c r="E180" s="54"/>
      <c r="F180" s="54"/>
      <c r="G180" s="174">
        <f t="shared" ref="G180:G181" si="34">(F180-E180)+1</f>
        <v>1</v>
      </c>
      <c r="H180" s="54"/>
      <c r="I180" s="54"/>
      <c r="J180" s="54"/>
      <c r="K180" s="54"/>
      <c r="L180" s="54"/>
      <c r="M180" s="54"/>
      <c r="N180" s="54"/>
      <c r="O180" s="176"/>
    </row>
    <row r="181" spans="1:15" x14ac:dyDescent="0.2">
      <c r="A181" s="177" t="s">
        <v>25</v>
      </c>
      <c r="B181" s="178">
        <v>45964</v>
      </c>
      <c r="C181" s="174" t="s">
        <v>116</v>
      </c>
      <c r="D181" s="178">
        <v>46493</v>
      </c>
      <c r="E181" s="54"/>
      <c r="F181" s="54"/>
      <c r="G181" s="174">
        <f t="shared" si="34"/>
        <v>1</v>
      </c>
      <c r="H181" s="54"/>
      <c r="I181" s="54"/>
      <c r="J181" s="54"/>
      <c r="K181" s="54"/>
      <c r="L181" s="54"/>
      <c r="M181" s="54"/>
      <c r="N181" s="54"/>
      <c r="O181" s="176"/>
    </row>
  </sheetData>
  <pageMargins left="0.11811023622047245" right="0.11811023622047245" top="0.78740157480314965" bottom="0.78740157480314965" header="0.31496062992125984" footer="0.31496062992125984"/>
  <pageSetup paperSize="9"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EB3A-DE97-5843-A75F-BD2748BA9A81}">
  <dimension ref="A3:O19"/>
  <sheetViews>
    <sheetView topLeftCell="D2" zoomScale="170" zoomScaleNormal="170" zoomScaleSheetLayoutView="100" workbookViewId="0">
      <selection activeCell="E11" sqref="E11:N11"/>
    </sheetView>
  </sheetViews>
  <sheetFormatPr baseColWidth="10" defaultColWidth="8.83203125" defaultRowHeight="15" x14ac:dyDescent="0.2"/>
  <cols>
    <col min="1" max="1" width="30.6640625" bestFit="1" customWidth="1"/>
    <col min="2" max="2" width="14.6640625" customWidth="1"/>
    <col min="3" max="3" width="22.5" customWidth="1"/>
    <col min="4" max="4" width="11.83203125" customWidth="1"/>
    <col min="5" max="5" width="10.33203125" bestFit="1" customWidth="1"/>
    <col min="6" max="6" width="11.5" customWidth="1"/>
    <col min="7" max="7" width="4.33203125" customWidth="1"/>
    <col min="8" max="9" width="12" bestFit="1" customWidth="1"/>
    <col min="10" max="12" width="10.33203125" bestFit="1" customWidth="1"/>
    <col min="13" max="13" width="7.6640625" customWidth="1"/>
    <col min="14" max="14" width="6.6640625" customWidth="1"/>
    <col min="15" max="15" width="88" bestFit="1" customWidth="1"/>
    <col min="16" max="16" width="67" bestFit="1" customWidth="1"/>
    <col min="17" max="19" width="10.6640625" bestFit="1" customWidth="1"/>
  </cols>
  <sheetData>
    <row r="3" spans="1:15" ht="19" x14ac:dyDescent="0.25">
      <c r="A3" s="139" t="s">
        <v>9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1"/>
    </row>
    <row r="4" spans="1:15" x14ac:dyDescent="0.2">
      <c r="A4" s="148" t="s">
        <v>23</v>
      </c>
      <c r="B4" s="148" t="s">
        <v>17</v>
      </c>
      <c r="C4" s="148" t="s">
        <v>18</v>
      </c>
      <c r="D4" s="148" t="s">
        <v>22</v>
      </c>
      <c r="E4" s="150" t="s">
        <v>19</v>
      </c>
      <c r="F4" s="151"/>
      <c r="G4" s="152"/>
      <c r="H4" s="150" t="s">
        <v>21</v>
      </c>
      <c r="I4" s="151"/>
      <c r="J4" s="152"/>
      <c r="K4" s="3"/>
      <c r="L4" s="3"/>
      <c r="M4" s="3"/>
      <c r="N4" s="148" t="s">
        <v>16</v>
      </c>
      <c r="O4" s="148" t="s">
        <v>15</v>
      </c>
    </row>
    <row r="5" spans="1:15" x14ac:dyDescent="0.2">
      <c r="A5" s="149"/>
      <c r="B5" s="149"/>
      <c r="C5" s="149"/>
      <c r="D5" s="149"/>
      <c r="E5" s="3" t="s">
        <v>7</v>
      </c>
      <c r="F5" s="3" t="s">
        <v>8</v>
      </c>
      <c r="G5" s="3" t="s">
        <v>20</v>
      </c>
      <c r="H5" s="3" t="s">
        <v>7</v>
      </c>
      <c r="I5" s="3" t="s">
        <v>8</v>
      </c>
      <c r="J5" s="3" t="s">
        <v>20</v>
      </c>
      <c r="K5" s="3" t="s">
        <v>20</v>
      </c>
      <c r="L5" s="3" t="s">
        <v>20</v>
      </c>
      <c r="M5" s="3" t="s">
        <v>20</v>
      </c>
      <c r="N5" s="149"/>
      <c r="O5" s="149"/>
    </row>
    <row r="6" spans="1:15" x14ac:dyDescent="0.2">
      <c r="A6" s="2" t="s">
        <v>11</v>
      </c>
      <c r="B6" s="1"/>
      <c r="C6" s="76" t="s">
        <v>41</v>
      </c>
      <c r="D6" s="77" t="s">
        <v>48</v>
      </c>
      <c r="E6" s="230" t="s">
        <v>155</v>
      </c>
      <c r="F6" s="231"/>
      <c r="G6" s="231"/>
      <c r="H6" s="231"/>
      <c r="I6" s="231"/>
      <c r="J6" s="231"/>
      <c r="K6" s="231"/>
      <c r="L6" s="231"/>
      <c r="M6" s="231"/>
      <c r="N6" s="232"/>
      <c r="O6" s="99"/>
    </row>
    <row r="7" spans="1:15" x14ac:dyDescent="0.2">
      <c r="A7" s="2" t="s">
        <v>11</v>
      </c>
      <c r="B7" s="1"/>
      <c r="C7" s="9" t="s">
        <v>54</v>
      </c>
      <c r="D7" s="16" t="s">
        <v>48</v>
      </c>
      <c r="E7" s="238">
        <v>46027</v>
      </c>
      <c r="F7" s="238">
        <v>46040</v>
      </c>
      <c r="G7" s="239">
        <f>(F7-E7)+1</f>
        <v>14</v>
      </c>
      <c r="H7" s="84"/>
      <c r="I7" s="157"/>
      <c r="J7" s="109"/>
      <c r="K7" s="109"/>
      <c r="L7" s="109"/>
      <c r="M7" s="109"/>
      <c r="N7" s="39">
        <f>30-G7</f>
        <v>16</v>
      </c>
      <c r="O7" s="112"/>
    </row>
    <row r="8" spans="1:15" x14ac:dyDescent="0.2">
      <c r="A8" s="2" t="s">
        <v>11</v>
      </c>
      <c r="B8" s="1"/>
      <c r="C8" s="7" t="s">
        <v>62</v>
      </c>
      <c r="D8" s="8" t="s">
        <v>48</v>
      </c>
      <c r="E8" s="110"/>
      <c r="F8" s="110"/>
      <c r="G8" s="111"/>
      <c r="H8" s="84"/>
      <c r="I8" s="157"/>
      <c r="J8" s="109"/>
      <c r="K8" s="109"/>
      <c r="L8" s="109"/>
      <c r="M8" s="109"/>
      <c r="N8" s="109">
        <f>30-G8</f>
        <v>30</v>
      </c>
      <c r="O8" s="112"/>
    </row>
    <row r="9" spans="1:15" x14ac:dyDescent="0.2">
      <c r="A9" s="2" t="s">
        <v>11</v>
      </c>
      <c r="B9" s="1"/>
      <c r="C9" s="174" t="s">
        <v>116</v>
      </c>
      <c r="D9" s="179" t="s">
        <v>48</v>
      </c>
      <c r="E9" s="110"/>
      <c r="F9" s="110"/>
      <c r="G9" s="111"/>
      <c r="H9" s="84"/>
      <c r="I9" s="157"/>
      <c r="J9" s="109"/>
      <c r="K9" s="109"/>
      <c r="L9" s="109"/>
      <c r="M9" s="109"/>
      <c r="N9" s="109"/>
      <c r="O9" s="112"/>
    </row>
    <row r="10" spans="1:15" x14ac:dyDescent="0.2">
      <c r="A10" s="2"/>
      <c r="B10" s="1"/>
      <c r="C10" s="109"/>
      <c r="D10" s="1"/>
      <c r="E10" s="110"/>
      <c r="F10" s="110"/>
      <c r="G10" s="111"/>
      <c r="H10" s="84"/>
      <c r="I10" s="157"/>
      <c r="J10" s="109"/>
      <c r="K10" s="109"/>
      <c r="L10" s="109"/>
      <c r="M10" s="109"/>
      <c r="N10" s="109"/>
      <c r="O10" s="112"/>
    </row>
    <row r="11" spans="1:15" ht="16" x14ac:dyDescent="0.2">
      <c r="A11" s="2" t="s">
        <v>12</v>
      </c>
      <c r="B11" s="2"/>
      <c r="C11" s="76" t="s">
        <v>41</v>
      </c>
      <c r="D11" s="77" t="s">
        <v>48</v>
      </c>
      <c r="E11" s="230" t="s">
        <v>160</v>
      </c>
      <c r="F11" s="231"/>
      <c r="G11" s="231"/>
      <c r="H11" s="231"/>
      <c r="I11" s="231"/>
      <c r="J11" s="231"/>
      <c r="K11" s="231"/>
      <c r="L11" s="231"/>
      <c r="M11" s="231"/>
      <c r="N11" s="232"/>
      <c r="O11" s="99" t="s">
        <v>161</v>
      </c>
    </row>
    <row r="12" spans="1:15" x14ac:dyDescent="0.2">
      <c r="A12" s="2" t="s">
        <v>12</v>
      </c>
      <c r="B12" s="2"/>
      <c r="C12" s="9" t="s">
        <v>54</v>
      </c>
      <c r="D12" s="16" t="s">
        <v>48</v>
      </c>
      <c r="E12" s="238">
        <v>46027</v>
      </c>
      <c r="F12" s="238">
        <v>46040</v>
      </c>
      <c r="G12" s="239">
        <f>(F12-E12)+1</f>
        <v>14</v>
      </c>
      <c r="H12" s="2"/>
      <c r="I12" s="25"/>
      <c r="J12" s="2"/>
      <c r="K12" s="2"/>
      <c r="L12" s="2"/>
      <c r="M12" s="2"/>
      <c r="N12" s="39">
        <f>30-G12</f>
        <v>16</v>
      </c>
      <c r="O12" s="112"/>
    </row>
    <row r="13" spans="1:15" x14ac:dyDescent="0.2">
      <c r="A13" s="2" t="s">
        <v>12</v>
      </c>
      <c r="B13" s="2"/>
      <c r="C13" s="7" t="s">
        <v>62</v>
      </c>
      <c r="D13" s="8" t="s">
        <v>48</v>
      </c>
      <c r="E13" s="110"/>
      <c r="F13" s="110"/>
      <c r="G13" s="111"/>
      <c r="H13" s="2"/>
      <c r="I13" s="25"/>
      <c r="J13" s="2"/>
      <c r="K13" s="2"/>
      <c r="L13" s="2"/>
      <c r="M13" s="2"/>
      <c r="N13" s="109">
        <f>30-G13</f>
        <v>30</v>
      </c>
      <c r="O13" s="112"/>
    </row>
    <row r="14" spans="1:15" x14ac:dyDescent="0.2">
      <c r="A14" s="2" t="s">
        <v>12</v>
      </c>
      <c r="B14" s="2"/>
      <c r="C14" s="174" t="s">
        <v>116</v>
      </c>
      <c r="D14" s="179" t="s">
        <v>48</v>
      </c>
      <c r="E14" s="110"/>
      <c r="F14" s="110"/>
      <c r="G14" s="111"/>
      <c r="H14" s="2"/>
      <c r="I14" s="25"/>
      <c r="J14" s="2"/>
      <c r="K14" s="2"/>
      <c r="L14" s="2"/>
      <c r="M14" s="2"/>
      <c r="N14" s="2"/>
      <c r="O14" s="112"/>
    </row>
    <row r="15" spans="1:15" x14ac:dyDescent="0.2">
      <c r="A15" s="158"/>
      <c r="B15" s="2"/>
      <c r="C15" s="109"/>
      <c r="D15" s="1"/>
      <c r="E15" s="110"/>
      <c r="F15" s="110" t="s">
        <v>117</v>
      </c>
      <c r="G15" s="111"/>
      <c r="H15" s="2"/>
      <c r="I15" s="25"/>
      <c r="J15" s="2"/>
      <c r="K15" s="2"/>
      <c r="L15" s="2"/>
      <c r="M15" s="2"/>
      <c r="N15" s="2"/>
      <c r="O15" s="112"/>
    </row>
    <row r="16" spans="1:15" x14ac:dyDescent="0.2">
      <c r="A16" s="2" t="s">
        <v>13</v>
      </c>
      <c r="B16" s="2"/>
      <c r="C16" s="76" t="s">
        <v>41</v>
      </c>
      <c r="D16" s="77" t="s">
        <v>48</v>
      </c>
      <c r="E16" s="230" t="s">
        <v>156</v>
      </c>
      <c r="F16" s="231"/>
      <c r="G16" s="231"/>
      <c r="H16" s="231"/>
      <c r="I16" s="231"/>
      <c r="J16" s="231"/>
      <c r="K16" s="231"/>
      <c r="L16" s="231"/>
      <c r="M16" s="231"/>
      <c r="N16" s="232"/>
      <c r="O16" s="99"/>
    </row>
    <row r="17" spans="1:15" x14ac:dyDescent="0.2">
      <c r="A17" s="2" t="s">
        <v>13</v>
      </c>
      <c r="B17" s="2"/>
      <c r="C17" s="9" t="s">
        <v>54</v>
      </c>
      <c r="D17" s="16" t="s">
        <v>48</v>
      </c>
      <c r="E17" s="238">
        <v>46027</v>
      </c>
      <c r="F17" s="238">
        <v>46040</v>
      </c>
      <c r="G17" s="239">
        <f t="shared" ref="G17" si="0">(F17-E17)+1</f>
        <v>14</v>
      </c>
      <c r="H17" s="26">
        <v>46265</v>
      </c>
      <c r="I17" s="26">
        <v>46271</v>
      </c>
      <c r="J17" s="233">
        <f t="shared" ref="J17" si="1">(I17-H17)+1</f>
        <v>7</v>
      </c>
      <c r="K17" s="2"/>
      <c r="L17" s="2"/>
      <c r="M17" s="2"/>
      <c r="N17" s="39">
        <f>30-G17-J17</f>
        <v>9</v>
      </c>
      <c r="O17" s="2"/>
    </row>
    <row r="18" spans="1:15" x14ac:dyDescent="0.2">
      <c r="A18" s="2" t="s">
        <v>13</v>
      </c>
      <c r="B18" s="2"/>
      <c r="C18" s="7" t="s">
        <v>62</v>
      </c>
      <c r="D18" s="8" t="s">
        <v>48</v>
      </c>
      <c r="E18" s="2"/>
      <c r="F18" s="2" t="s">
        <v>109</v>
      </c>
      <c r="G18" s="2"/>
      <c r="H18" s="2"/>
      <c r="I18" s="2"/>
      <c r="J18" s="2"/>
      <c r="K18" s="2"/>
      <c r="L18" s="2"/>
      <c r="M18" s="2"/>
      <c r="N18" s="109">
        <f>30-G18</f>
        <v>30</v>
      </c>
      <c r="O18" s="2"/>
    </row>
    <row r="19" spans="1:15" x14ac:dyDescent="0.2">
      <c r="A19" s="2" t="s">
        <v>13</v>
      </c>
      <c r="B19" s="2"/>
      <c r="C19" s="174" t="s">
        <v>116</v>
      </c>
      <c r="D19" s="179" t="s">
        <v>48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</sheetData>
  <mergeCells count="3">
    <mergeCell ref="E6:N6"/>
    <mergeCell ref="E11:N11"/>
    <mergeCell ref="E16:N16"/>
  </mergeCells>
  <pageMargins left="0.11811023622047245" right="0.11811023622047245" top="0.78740157480314965" bottom="0.78740157480314965" header="0.31496062992125984" footer="0.31496062992125984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2025-2026</vt:lpstr>
      <vt:lpstr>2025-2026-INGRID-NELY-CARLOS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Nely</dc:creator>
  <cp:lastModifiedBy>Ingrid Custódio</cp:lastModifiedBy>
  <cp:lastPrinted>2024-02-16T14:21:51Z</cp:lastPrinted>
  <dcterms:created xsi:type="dcterms:W3CDTF">2017-10-30T18:48:14Z</dcterms:created>
  <dcterms:modified xsi:type="dcterms:W3CDTF">2026-05-25T14:32:47Z</dcterms:modified>
</cp:coreProperties>
</file>